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'Raw'!$A$1:$O$376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COUNTIF(Raw!E2:E376,"en")</f>
        <v/>
      </c>
      <c r="C6" s="6">
        <f>IFERROR(COUNTIFS(Raw!E2:E376,"en",Raw!I2:I376,TRUE)/COUNTIF(Raw!E2:E376,"en"),"")</f>
        <v/>
      </c>
      <c r="D6" s="6">
        <f>IFERROR(COUNTIFS(Raw!E2:E376,"en",Raw!K2:K376,"success")/COUNTIF(Raw!E2:E376,"en"),"")</f>
        <v/>
      </c>
      <c r="E6" s="6">
        <f>IFERROR(COUNTIFS(Raw!E2:E376,"en",Raw!J2:J376,TRUE)/COUNTIF(Raw!E2:E376,"en"),"")</f>
        <v/>
      </c>
      <c r="F6" s="6">
        <f>IFERROR(AVERAGEIFS(Raw!M2:M376,Raw!E2:E376,"en"),"")</f>
        <v/>
      </c>
      <c r="G6" s="6">
        <f>IFERROR(AVERAGEIFS(Raw!N2:N376,Raw!E2:E376,"en"),"")</f>
        <v/>
      </c>
    </row>
    <row r="7">
      <c r="A7" s="5" t="inlineStr">
        <is>
          <t>fr</t>
        </is>
      </c>
      <c r="B7" s="5">
        <f>COUNTIF(Raw!E2:E376,"fr")</f>
        <v/>
      </c>
      <c r="C7" s="6">
        <f>IFERROR(COUNTIFS(Raw!E2:E376,"fr",Raw!I2:I376,TRUE)/COUNTIF(Raw!E2:E376,"fr"),"")</f>
        <v/>
      </c>
      <c r="D7" s="6">
        <f>IFERROR(COUNTIFS(Raw!E2:E376,"fr",Raw!K2:K376,"success")/COUNTIF(Raw!E2:E376,"fr"),"")</f>
        <v/>
      </c>
      <c r="E7" s="6">
        <f>IFERROR(COUNTIFS(Raw!E2:E376,"fr",Raw!J2:J376,TRUE)/COUNTIF(Raw!E2:E376,"fr"),"")</f>
        <v/>
      </c>
      <c r="F7" s="6">
        <f>IFERROR(AVERAGEIFS(Raw!M2:M376,Raw!E2:E376,"fr"),"")</f>
        <v/>
      </c>
      <c r="G7" s="6">
        <f>IFERROR(AVERAGEIFS(Raw!N2:N376,Raw!E2:E376,"fr"),"")</f>
        <v/>
      </c>
    </row>
    <row r="8">
      <c r="A8" s="5" t="inlineStr">
        <is>
          <t>ar</t>
        </is>
      </c>
      <c r="B8" s="5">
        <f>COUNTIF(Raw!E2:E376,"ar")</f>
        <v/>
      </c>
      <c r="C8" s="6">
        <f>IFERROR(COUNTIFS(Raw!E2:E376,"ar",Raw!I2:I376,TRUE)/COUNTIF(Raw!E2:E376,"ar"),"")</f>
        <v/>
      </c>
      <c r="D8" s="6">
        <f>IFERROR(COUNTIFS(Raw!E2:E376,"ar",Raw!K2:K376,"success")/COUNTIF(Raw!E2:E376,"ar"),"")</f>
        <v/>
      </c>
      <c r="E8" s="6">
        <f>IFERROR(COUNTIFS(Raw!E2:E376,"ar",Raw!J2:J376,TRUE)/COUNTIF(Raw!E2:E376,"ar"),"")</f>
        <v/>
      </c>
      <c r="F8" s="6">
        <f>IFERROR(AVERAGEIFS(Raw!M2:M376,Raw!E2:E376,"ar"),"")</f>
        <v/>
      </c>
      <c r="G8" s="6">
        <f>IFERROR(AVERAGEIFS(Raw!N2:N376,Raw!E2:E376,"ar"),"")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COUNTIF(Raw!F2:F376,"zero-shot")</f>
        <v/>
      </c>
      <c r="C12" s="6">
        <f>IFERROR(COUNTIFS(Raw!F2:F376,"zero-shot",Raw!I2:I376,TRUE)/COUNTIF(Raw!F2:F376,"zero-shot"),"")</f>
        <v/>
      </c>
      <c r="D12" s="6">
        <f>IFERROR(COUNTIFS(Raw!F2:F376,"zero-shot",Raw!K2:K376,"success")/COUNTIF(Raw!F2:F376,"zero-shot"),"")</f>
        <v/>
      </c>
      <c r="E12" s="6">
        <f>IFERROR(COUNTIFS(Raw!F2:F376,"zero-shot",Raw!J2:J376,TRUE)/COUNTIF(Raw!F2:F376,"zero-shot"),"")</f>
        <v/>
      </c>
      <c r="F12" s="6">
        <f>IFERROR(AVERAGEIFS(Raw!M2:M376,Raw!F2:F376,"zero-shot"),"")</f>
        <v/>
      </c>
      <c r="G12" s="6">
        <f>IFERROR(AVERAGEIFS(Raw!N2:N376,Raw!F2:F376,"zero-shot"),"")</f>
        <v/>
      </c>
    </row>
    <row r="13">
      <c r="A13" s="5" t="inlineStr">
        <is>
          <t>few-shot</t>
        </is>
      </c>
      <c r="B13" s="5">
        <f>COUNTIF(Raw!F2:F376,"few-shot")</f>
        <v/>
      </c>
      <c r="C13" s="6">
        <f>IFERROR(COUNTIFS(Raw!F2:F376,"few-shot",Raw!I2:I376,TRUE)/COUNTIF(Raw!F2:F376,"few-shot"),"")</f>
        <v/>
      </c>
      <c r="D13" s="6">
        <f>IFERROR(COUNTIFS(Raw!F2:F376,"few-shot",Raw!K2:K376,"success")/COUNTIF(Raw!F2:F376,"few-shot"),"")</f>
        <v/>
      </c>
      <c r="E13" s="6">
        <f>IFERROR(COUNTIFS(Raw!F2:F376,"few-shot",Raw!J2:J376,TRUE)/COUNTIF(Raw!F2:F376,"few-shot"),"")</f>
        <v/>
      </c>
      <c r="F13" s="6">
        <f>IFERROR(AVERAGEIFS(Raw!M2:M376,Raw!F2:F376,"few-shot"),"")</f>
        <v/>
      </c>
      <c r="G13" s="6">
        <f>IFERROR(AVERAGEIFS(Raw!N2:N376,Raw!F2:F376,"few-shot"),"")</f>
        <v/>
      </c>
    </row>
    <row r="14">
      <c r="A14" s="5" t="inlineStr">
        <is>
          <t>cot</t>
        </is>
      </c>
      <c r="B14" s="5">
        <f>COUNTIF(Raw!F2:F376,"cot")</f>
        <v/>
      </c>
      <c r="C14" s="6">
        <f>IFERROR(COUNTIFS(Raw!F2:F376,"cot",Raw!I2:I376,TRUE)/COUNTIF(Raw!F2:F376,"cot"),"")</f>
        <v/>
      </c>
      <c r="D14" s="6">
        <f>IFERROR(COUNTIFS(Raw!F2:F376,"cot",Raw!K2:K376,"success")/COUNTIF(Raw!F2:F376,"cot"),"")</f>
        <v/>
      </c>
      <c r="E14" s="6">
        <f>IFERROR(COUNTIFS(Raw!F2:F376,"cot",Raw!J2:J376,TRUE)/COUNTIF(Raw!F2:F376,"cot"),"")</f>
        <v/>
      </c>
      <c r="F14" s="6">
        <f>IFERROR(AVERAGEIFS(Raw!M2:M376,Raw!F2:F376,"cot"),"")</f>
        <v/>
      </c>
      <c r="G14" s="6">
        <f>IFERROR(AVERAGEIFS(Raw!N2:N376,Raw!F2:F376,"cot"),"")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COUNTIF(Raw!B2:B376,"1")</f>
        <v/>
      </c>
      <c r="C18" s="6">
        <f>IFERROR(COUNTIFS(Raw!B2:B376,"1",Raw!I2:I376,TRUE)/COUNTIF(Raw!B2:B376,"1"),"")</f>
        <v/>
      </c>
      <c r="D18" s="6">
        <f>IFERROR(COUNTIFS(Raw!B2:B376,"1",Raw!K2:K376,"success")/COUNTIF(Raw!B2:B376,"1"),"")</f>
        <v/>
      </c>
      <c r="E18" s="6">
        <f>IFERROR(COUNTIFS(Raw!B2:B376,"1",Raw!J2:J376,TRUE)/COUNTIF(Raw!B2:B376,"1"),"")</f>
        <v/>
      </c>
      <c r="F18" s="6">
        <f>IFERROR(AVERAGEIFS(Raw!M2:M376,Raw!B2:B376,"1"),"")</f>
        <v/>
      </c>
      <c r="G18" s="6">
        <f>IFERROR(AVERAGEIFS(Raw!N2:N376,Raw!B2:B376,"1"),"")</f>
        <v/>
      </c>
    </row>
    <row r="19">
      <c r="A19" s="5" t="n">
        <v>2</v>
      </c>
      <c r="B19" s="5">
        <f>COUNTIF(Raw!B2:B376,"2")</f>
        <v/>
      </c>
      <c r="C19" s="6">
        <f>IFERROR(COUNTIFS(Raw!B2:B376,"2",Raw!I2:I376,TRUE)/COUNTIF(Raw!B2:B376,"2"),"")</f>
        <v/>
      </c>
      <c r="D19" s="6">
        <f>IFERROR(COUNTIFS(Raw!B2:B376,"2",Raw!K2:K376,"success")/COUNTIF(Raw!B2:B376,"2"),"")</f>
        <v/>
      </c>
      <c r="E19" s="6">
        <f>IFERROR(COUNTIFS(Raw!B2:B376,"2",Raw!J2:J376,TRUE)/COUNTIF(Raw!B2:B376,"2"),"")</f>
        <v/>
      </c>
      <c r="F19" s="6">
        <f>IFERROR(AVERAGEIFS(Raw!M2:M376,Raw!B2:B376,"2"),"")</f>
        <v/>
      </c>
      <c r="G19" s="6">
        <f>IFERROR(AVERAGEIFS(Raw!N2:N376,Raw!B2:B376,"2"),"")</f>
        <v/>
      </c>
    </row>
    <row r="20">
      <c r="A20" s="5" t="n">
        <v>3</v>
      </c>
      <c r="B20" s="5">
        <f>COUNTIF(Raw!B2:B376,"3")</f>
        <v/>
      </c>
      <c r="C20" s="6">
        <f>IFERROR(COUNTIFS(Raw!B2:B376,"3",Raw!I2:I376,TRUE)/COUNTIF(Raw!B2:B376,"3"),"")</f>
        <v/>
      </c>
      <c r="D20" s="6">
        <f>IFERROR(COUNTIFS(Raw!B2:B376,"3",Raw!K2:K376,"success")/COUNTIF(Raw!B2:B376,"3"),"")</f>
        <v/>
      </c>
      <c r="E20" s="6">
        <f>IFERROR(COUNTIFS(Raw!B2:B376,"3",Raw!J2:J376,TRUE)/COUNTIF(Raw!B2:B376,"3"),"")</f>
        <v/>
      </c>
      <c r="F20" s="6">
        <f>IFERROR(AVERAGEIFS(Raw!M2:M376,Raw!B2:B376,"3"),"")</f>
        <v/>
      </c>
      <c r="G20" s="6">
        <f>IFERROR(AVERAGEIFS(Raw!N2:N376,Raw!B2:B376,"3"),"")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COUNTIF(Raw!C2:C376,"single_kg1")</f>
        <v/>
      </c>
      <c r="C24" s="6">
        <f>IFERROR(COUNTIFS(Raw!C2:C376,"single_kg1",Raw!I2:I376,TRUE)/COUNTIF(Raw!C2:C376,"single_kg1"),"")</f>
        <v/>
      </c>
      <c r="D24" s="6">
        <f>IFERROR(COUNTIFS(Raw!C2:C376,"single_kg1",Raw!K2:K376,"success")/COUNTIF(Raw!C2:C376,"single_kg1"),"")</f>
        <v/>
      </c>
      <c r="E24" s="6">
        <f>IFERROR(COUNTIFS(Raw!C2:C376,"single_kg1",Raw!J2:J376,TRUE)/COUNTIF(Raw!C2:C376,"single_kg1"),"")</f>
        <v/>
      </c>
      <c r="F24" s="6">
        <f>IFERROR(AVERAGEIFS(Raw!M2:M376,Raw!C2:C376,"single_kg1"),"")</f>
        <v/>
      </c>
      <c r="G24" s="6">
        <f>IFERROR(AVERAGEIFS(Raw!N2:N376,Raw!C2:C376,"single_kg1"),"")</f>
        <v/>
      </c>
    </row>
    <row r="25">
      <c r="A25" s="5" t="inlineStr">
        <is>
          <t>single_kg2</t>
        </is>
      </c>
      <c r="B25" s="5">
        <f>COUNTIF(Raw!C2:C376,"single_kg2")</f>
        <v/>
      </c>
      <c r="C25" s="6">
        <f>IFERROR(COUNTIFS(Raw!C2:C376,"single_kg2",Raw!I2:I376,TRUE)/COUNTIF(Raw!C2:C376,"single_kg2"),"")</f>
        <v/>
      </c>
      <c r="D25" s="6">
        <f>IFERROR(COUNTIFS(Raw!C2:C376,"single_kg2",Raw!K2:K376,"success")/COUNTIF(Raw!C2:C376,"single_kg2"),"")</f>
        <v/>
      </c>
      <c r="E25" s="6">
        <f>IFERROR(COUNTIFS(Raw!C2:C376,"single_kg2",Raw!J2:J376,TRUE)/COUNTIF(Raw!C2:C376,"single_kg2"),"")</f>
        <v/>
      </c>
      <c r="F25" s="6">
        <f>IFERROR(AVERAGEIFS(Raw!M2:M376,Raw!C2:C376,"single_kg2"),"")</f>
        <v/>
      </c>
      <c r="G25" s="6">
        <f>IFERROR(AVERAGEIFS(Raw!N2:N376,Raw!C2:C376,"single_kg2"),"")</f>
        <v/>
      </c>
    </row>
    <row r="26">
      <c r="A26" s="5" t="inlineStr">
        <is>
          <t>single_kg3</t>
        </is>
      </c>
      <c r="B26" s="5">
        <f>COUNTIF(Raw!C2:C376,"single_kg3")</f>
        <v/>
      </c>
      <c r="C26" s="6">
        <f>IFERROR(COUNTIFS(Raw!C2:C376,"single_kg3",Raw!I2:I376,TRUE)/COUNTIF(Raw!C2:C376,"single_kg3"),"")</f>
        <v/>
      </c>
      <c r="D26" s="6">
        <f>IFERROR(COUNTIFS(Raw!C2:C376,"single_kg3",Raw!K2:K376,"success")/COUNTIF(Raw!C2:C376,"single_kg3"),"")</f>
        <v/>
      </c>
      <c r="E26" s="6">
        <f>IFERROR(COUNTIFS(Raw!C2:C376,"single_kg3",Raw!J2:J376,TRUE)/COUNTIF(Raw!C2:C376,"single_kg3"),"")</f>
        <v/>
      </c>
      <c r="F26" s="6">
        <f>IFERROR(AVERAGEIFS(Raw!M2:M376,Raw!C2:C376,"single_kg3"),"")</f>
        <v/>
      </c>
      <c r="G26" s="6">
        <f>IFERROR(AVERAGEIFS(Raw!N2:N376,Raw!C2:C376,"single_kg3"),"")</f>
        <v/>
      </c>
    </row>
    <row r="27">
      <c r="A27" s="5" t="inlineStr">
        <is>
          <t>cross_kg</t>
        </is>
      </c>
      <c r="B27" s="5">
        <f>COUNTIF(Raw!C2:C376,"cross_kg")</f>
        <v/>
      </c>
      <c r="C27" s="6">
        <f>IFERROR(COUNTIFS(Raw!C2:C376,"cross_kg",Raw!I2:I376,TRUE)/COUNTIF(Raw!C2:C376,"cross_kg"),"")</f>
        <v/>
      </c>
      <c r="D27" s="6">
        <f>IFERROR(COUNTIFS(Raw!C2:C376,"cross_kg",Raw!K2:K376,"success")/COUNTIF(Raw!C2:C376,"cross_kg"),"")</f>
        <v/>
      </c>
      <c r="E27" s="6">
        <f>IFERROR(COUNTIFS(Raw!C2:C376,"cross_kg",Raw!J2:J376,TRUE)/COUNTIF(Raw!C2:C376,"cross_kg"),"")</f>
        <v/>
      </c>
      <c r="F27" s="6">
        <f>IFERROR(AVERAGEIFS(Raw!M2:M376,Raw!C2:C376,"cross_kg"),"")</f>
        <v/>
      </c>
      <c r="G27" s="6">
        <f>IFERROR(AVERAGEIFS(Raw!N2:N376,Raw!C2:C376,"cross_kg"),"")</f>
        <v/>
      </c>
    </row>
    <row r="28">
      <c r="A28" s="5" t="inlineStr">
        <is>
          <t>open_kg</t>
        </is>
      </c>
      <c r="B28" s="5">
        <f>COUNTIF(Raw!C2:C376,"open_kg")</f>
        <v/>
      </c>
      <c r="C28" s="6">
        <f>IFERROR(COUNTIFS(Raw!C2:C376,"open_kg",Raw!I2:I376,TRUE)/COUNTIF(Raw!C2:C376,"open_kg"),"")</f>
        <v/>
      </c>
      <c r="D28" s="6">
        <f>IFERROR(COUNTIFS(Raw!C2:C376,"open_kg",Raw!K2:K376,"success")/COUNTIF(Raw!C2:C376,"open_kg"),"")</f>
        <v/>
      </c>
      <c r="E28" s="6">
        <f>IFERROR(COUNTIFS(Raw!C2:C376,"open_kg",Raw!J2:J376,TRUE)/COUNTIF(Raw!C2:C376,"open_kg"),"")</f>
        <v/>
      </c>
      <c r="F28" s="6">
        <f>IFERROR(AVERAGEIFS(Raw!M2:M376,Raw!C2:C376,"open_kg"),"")</f>
        <v/>
      </c>
      <c r="G28" s="6">
        <f>IFERROR(AVERAGEIFS(Raw!N2:N376,Raw!C2:C376,"open_kg"),"")</f>
        <v/>
      </c>
    </row>
    <row r="29">
      <c r="A29" s="5" t="inlineStr">
        <is>
          <t>count_kg1</t>
        </is>
      </c>
      <c r="B29" s="5">
        <f>COUNTIF(Raw!C2:C376,"count_kg1")</f>
        <v/>
      </c>
      <c r="C29" s="6">
        <f>IFERROR(COUNTIFS(Raw!C2:C376,"count_kg1",Raw!I2:I376,TRUE)/COUNTIF(Raw!C2:C376,"count_kg1"),"")</f>
        <v/>
      </c>
      <c r="D29" s="6">
        <f>IFERROR(COUNTIFS(Raw!C2:C376,"count_kg1",Raw!K2:K376,"success")/COUNTIF(Raw!C2:C376,"count_kg1"),"")</f>
        <v/>
      </c>
      <c r="E29" s="6">
        <f>IFERROR(COUNTIFS(Raw!C2:C376,"count_kg1",Raw!J2:J376,TRUE)/COUNTIF(Raw!C2:C376,"count_kg1"),"")</f>
        <v/>
      </c>
      <c r="F29" s="6">
        <f>IFERROR(AVERAGEIFS(Raw!M2:M376,Raw!C2:C376,"count_kg1"),"")</f>
        <v/>
      </c>
      <c r="G29" s="6">
        <f>IFERROR(AVERAGEIFS(Raw!N2:N376,Raw!C2:C376,"count_kg1"),"")</f>
        <v/>
      </c>
    </row>
    <row r="30">
      <c r="A30" s="5" t="inlineStr">
        <is>
          <t>count_kg3</t>
        </is>
      </c>
      <c r="B30" s="5">
        <f>COUNTIF(Raw!C2:C376,"count_kg3")</f>
        <v/>
      </c>
      <c r="C30" s="6">
        <f>IFERROR(COUNTIFS(Raw!C2:C376,"count_kg3",Raw!I2:I376,TRUE)/COUNTIF(Raw!C2:C376,"count_kg3"),"")</f>
        <v/>
      </c>
      <c r="D30" s="6">
        <f>IFERROR(COUNTIFS(Raw!C2:C376,"count_kg3",Raw!K2:K376,"success")/COUNTIF(Raw!C2:C376,"count_kg3"),"")</f>
        <v/>
      </c>
      <c r="E30" s="6">
        <f>IFERROR(COUNTIFS(Raw!C2:C376,"count_kg3",Raw!J2:J376,TRUE)/COUNTIF(Raw!C2:C376,"count_kg3"),"")</f>
        <v/>
      </c>
      <c r="F30" s="6">
        <f>IFERROR(AVERAGEIFS(Raw!M2:M376,Raw!C2:C376,"count_kg3"),"")</f>
        <v/>
      </c>
      <c r="G30" s="6">
        <f>IFERROR(AVERAGEIFS(Raw!N2:N376,Raw!C2:C376,"count_kg3"),"")</f>
        <v/>
      </c>
    </row>
    <row r="31">
      <c r="A31" s="5" t="inlineStr">
        <is>
          <t>filter_numeric_kg1</t>
        </is>
      </c>
      <c r="B31" s="5">
        <f>COUNTIF(Raw!C2:C376,"filter_numeric_kg1")</f>
        <v/>
      </c>
      <c r="C31" s="6">
        <f>IFERROR(COUNTIFS(Raw!C2:C376,"filter_numeric_kg1",Raw!I2:I376,TRUE)/COUNTIF(Raw!C2:C376,"filter_numeric_kg1"),"")</f>
        <v/>
      </c>
      <c r="D31" s="6">
        <f>IFERROR(COUNTIFS(Raw!C2:C376,"filter_numeric_kg1",Raw!K2:K376,"success")/COUNTIF(Raw!C2:C376,"filter_numeric_kg1"),"")</f>
        <v/>
      </c>
      <c r="E31" s="6">
        <f>IFERROR(COUNTIFS(Raw!C2:C376,"filter_numeric_kg1",Raw!J2:J376,TRUE)/COUNTIF(Raw!C2:C376,"filter_numeric_kg1"),"")</f>
        <v/>
      </c>
      <c r="F31" s="6">
        <f>IFERROR(AVERAGEIFS(Raw!M2:M376,Raw!C2:C376,"filter_numeric_kg1"),"")</f>
        <v/>
      </c>
      <c r="G31" s="6">
        <f>IFERROR(AVERAGEIFS(Raw!N2:N376,Raw!C2:C376,"filter_numeric_kg1"),"")</f>
        <v/>
      </c>
    </row>
    <row r="32">
      <c r="A32" s="5" t="inlineStr">
        <is>
          <t>filter_numeric_kg2</t>
        </is>
      </c>
      <c r="B32" s="5">
        <f>COUNTIF(Raw!C2:C376,"filter_numeric_kg2")</f>
        <v/>
      </c>
      <c r="C32" s="6">
        <f>IFERROR(COUNTIFS(Raw!C2:C376,"filter_numeric_kg2",Raw!I2:I376,TRUE)/COUNTIF(Raw!C2:C376,"filter_numeric_kg2"),"")</f>
        <v/>
      </c>
      <c r="D32" s="6">
        <f>IFERROR(COUNTIFS(Raw!C2:C376,"filter_numeric_kg2",Raw!K2:K376,"success")/COUNTIF(Raw!C2:C376,"filter_numeric_kg2"),"")</f>
        <v/>
      </c>
      <c r="E32" s="6">
        <f>IFERROR(COUNTIFS(Raw!C2:C376,"filter_numeric_kg2",Raw!J2:J376,TRUE)/COUNTIF(Raw!C2:C376,"filter_numeric_kg2"),"")</f>
        <v/>
      </c>
      <c r="F32" s="6">
        <f>IFERROR(AVERAGEIFS(Raw!M2:M376,Raw!C2:C376,"filter_numeric_kg2"),"")</f>
        <v/>
      </c>
      <c r="G32" s="6">
        <f>IFERROR(AVERAGEIFS(Raw!N2:N376,Raw!C2:C376,"filter_numeric_kg2"),"")</f>
        <v/>
      </c>
    </row>
    <row r="33">
      <c r="A33" s="5" t="inlineStr">
        <is>
          <t>filter_string_kg2</t>
        </is>
      </c>
      <c r="B33" s="5">
        <f>COUNTIF(Raw!C2:C376,"filter_string_kg2")</f>
        <v/>
      </c>
      <c r="C33" s="6">
        <f>IFERROR(COUNTIFS(Raw!C2:C376,"filter_string_kg2",Raw!I2:I376,TRUE)/COUNTIF(Raw!C2:C376,"filter_string_kg2"),"")</f>
        <v/>
      </c>
      <c r="D33" s="6">
        <f>IFERROR(COUNTIFS(Raw!C2:C376,"filter_string_kg2",Raw!K2:K376,"success")/COUNTIF(Raw!C2:C376,"filter_string_kg2"),"")</f>
        <v/>
      </c>
      <c r="E33" s="6">
        <f>IFERROR(COUNTIFS(Raw!C2:C376,"filter_string_kg2",Raw!J2:J376,TRUE)/COUNTIF(Raw!C2:C376,"filter_string_kg2"),"")</f>
        <v/>
      </c>
      <c r="F33" s="6">
        <f>IFERROR(AVERAGEIFS(Raw!M2:M376,Raw!C2:C376,"filter_string_kg2"),"")</f>
        <v/>
      </c>
      <c r="G33" s="6">
        <f>IFERROR(AVERAGEIFS(Raw!N2:N376,Raw!C2:C376,"filter_string_kg2"),"")</f>
        <v/>
      </c>
    </row>
    <row r="34">
      <c r="A34" s="5" t="inlineStr">
        <is>
          <t>filter_string_kg3</t>
        </is>
      </c>
      <c r="B34" s="5">
        <f>COUNTIF(Raw!C2:C376,"filter_string_kg3")</f>
        <v/>
      </c>
      <c r="C34" s="6">
        <f>IFERROR(COUNTIFS(Raw!C2:C376,"filter_string_kg3",Raw!I2:I376,TRUE)/COUNTIF(Raw!C2:C376,"filter_string_kg3"),"")</f>
        <v/>
      </c>
      <c r="D34" s="6">
        <f>IFERROR(COUNTIFS(Raw!C2:C376,"filter_string_kg3",Raw!K2:K376,"success")/COUNTIF(Raw!C2:C376,"filter_string_kg3"),"")</f>
        <v/>
      </c>
      <c r="E34" s="6">
        <f>IFERROR(COUNTIFS(Raw!C2:C376,"filter_string_kg3",Raw!J2:J376,TRUE)/COUNTIF(Raw!C2:C376,"filter_string_kg3"),"")</f>
        <v/>
      </c>
      <c r="F34" s="6">
        <f>IFERROR(AVERAGEIFS(Raw!M2:M376,Raw!C2:C376,"filter_string_kg3"),"")</f>
        <v/>
      </c>
      <c r="G34" s="6">
        <f>IFERROR(AVERAGEIFS(Raw!N2:N376,Raw!C2:C376,"filter_string_kg3"),"")</f>
        <v/>
      </c>
    </row>
    <row r="35">
      <c r="A35" s="5" t="inlineStr">
        <is>
          <t>ranking_kg2</t>
        </is>
      </c>
      <c r="B35" s="5">
        <f>COUNTIF(Raw!C2:C376,"ranking_kg2")</f>
        <v/>
      </c>
      <c r="C35" s="6">
        <f>IFERROR(COUNTIFS(Raw!C2:C376,"ranking_kg2",Raw!I2:I376,TRUE)/COUNTIF(Raw!C2:C376,"ranking_kg2"),"")</f>
        <v/>
      </c>
      <c r="D35" s="6">
        <f>IFERROR(COUNTIFS(Raw!C2:C376,"ranking_kg2",Raw!K2:K376,"success")/COUNTIF(Raw!C2:C376,"ranking_kg2"),"")</f>
        <v/>
      </c>
      <c r="E35" s="6">
        <f>IFERROR(COUNTIFS(Raw!C2:C376,"ranking_kg2",Raw!J2:J376,TRUE)/COUNTIF(Raw!C2:C376,"ranking_kg2"),"")</f>
        <v/>
      </c>
      <c r="F35" s="6">
        <f>IFERROR(AVERAGEIFS(Raw!M2:M376,Raw!C2:C376,"ranking_kg2"),"")</f>
        <v/>
      </c>
      <c r="G35" s="6">
        <f>IFERROR(AVERAGEIFS(Raw!N2:N376,Raw!C2:C376,"ranking_kg2"),"")</f>
        <v/>
      </c>
    </row>
    <row r="36">
      <c r="A36" s="5" t="inlineStr">
        <is>
          <t>compare_two_airports</t>
        </is>
      </c>
      <c r="B36" s="5">
        <f>COUNTIF(Raw!C2:C376,"compare_two_airports")</f>
        <v/>
      </c>
      <c r="C36" s="6">
        <f>IFERROR(COUNTIFS(Raw!C2:C376,"compare_two_airports",Raw!I2:I376,TRUE)/COUNTIF(Raw!C2:C376,"compare_two_airports"),"")</f>
        <v/>
      </c>
      <c r="D36" s="6">
        <f>IFERROR(COUNTIFS(Raw!C2:C376,"compare_two_airports",Raw!K2:K376,"success")/COUNTIF(Raw!C2:C376,"compare_two_airports"),"")</f>
        <v/>
      </c>
      <c r="E36" s="6">
        <f>IFERROR(COUNTIFS(Raw!C2:C376,"compare_two_airports",Raw!J2:J376,TRUE)/COUNTIF(Raw!C2:C376,"compare_two_airports"),"")</f>
        <v/>
      </c>
      <c r="F36" s="6">
        <f>IFERROR(AVERAGEIFS(Raw!M2:M376,Raw!C2:C376,"compare_two_airports"),"")</f>
        <v/>
      </c>
      <c r="G36" s="6">
        <f>IFERROR(AVERAGEIFS(Raw!N2:N376,Raw!C2:C376,"compare_two_airports"),"")</f>
        <v/>
      </c>
    </row>
    <row r="37">
      <c r="A37" s="5" t="inlineStr">
        <is>
          <t>out_of_scope</t>
        </is>
      </c>
      <c r="B37" s="5">
        <f>COUNTIF(Raw!C2:C376,"out_of_scope")</f>
        <v/>
      </c>
      <c r="C37" s="6">
        <f>IFERROR(COUNTIFS(Raw!C2:C376,"out_of_scope",Raw!I2:I376,TRUE)/COUNTIF(Raw!C2:C376,"out_of_scope"),"")</f>
        <v/>
      </c>
      <c r="D37" s="6">
        <f>IFERROR(COUNTIFS(Raw!C2:C376,"out_of_scope",Raw!K2:K376,"success")/COUNTIF(Raw!C2:C376,"out_of_scope"),"")</f>
        <v/>
      </c>
      <c r="E37" s="6">
        <f>IFERROR(COUNTIFS(Raw!C2:C376,"out_of_scope",Raw!J2:J376,TRUE)/COUNTIF(Raw!C2:C376,"out_of_scope"),"")</f>
        <v/>
      </c>
      <c r="F37" s="6">
        <f>IFERROR(AVERAGEIFS(Raw!M2:M376,Raw!C2:C376,"out_of_scope"),"")</f>
        <v/>
      </c>
      <c r="G37" s="6">
        <f>IFERROR(AVERAGEIFS(Raw!N2:N376,Raw!C2:C376,"out_of_scope"),"")</f>
        <v/>
      </c>
    </row>
    <row r="38">
      <c r="A38" s="5" t="inlineStr">
        <is>
          <t>ask_query</t>
        </is>
      </c>
      <c r="B38" s="5">
        <f>COUNTIF(Raw!C2:C376,"ask_query")</f>
        <v/>
      </c>
      <c r="C38" s="6">
        <f>IFERROR(COUNTIFS(Raw!C2:C376,"ask_query",Raw!I2:I376,TRUE)/COUNTIF(Raw!C2:C376,"ask_query"),"")</f>
        <v/>
      </c>
      <c r="D38" s="6">
        <f>IFERROR(COUNTIFS(Raw!C2:C376,"ask_query",Raw!K2:K376,"success")/COUNTIF(Raw!C2:C376,"ask_query"),"")</f>
        <v/>
      </c>
      <c r="E38" s="6">
        <f>IFERROR(COUNTIFS(Raw!C2:C376,"ask_query",Raw!J2:J376,TRUE)/COUNTIF(Raw!C2:C376,"ask_query"),"")</f>
        <v/>
      </c>
      <c r="F38" s="6">
        <f>IFERROR(AVERAGEIFS(Raw!M2:M376,Raw!C2:C376,"ask_query"),"")</f>
        <v/>
      </c>
      <c r="G38" s="6">
        <f>IFERROR(AVERAGEIFS(Raw!N2:N376,Raw!C2:C376,"ask_query"),"")</f>
        <v/>
      </c>
    </row>
    <row r="39">
      <c r="A39" s="5" t="inlineStr">
        <is>
          <t>typo_fuzzy</t>
        </is>
      </c>
      <c r="B39" s="5">
        <f>COUNTIF(Raw!C2:C376,"typo_fuzzy")</f>
        <v/>
      </c>
      <c r="C39" s="6">
        <f>IFERROR(COUNTIFS(Raw!C2:C376,"typo_fuzzy",Raw!I2:I376,TRUE)/COUNTIF(Raw!C2:C376,"typo_fuzzy"),"")</f>
        <v/>
      </c>
      <c r="D39" s="6">
        <f>IFERROR(COUNTIFS(Raw!C2:C376,"typo_fuzzy",Raw!K2:K376,"success")/COUNTIF(Raw!C2:C376,"typo_fuzzy"),"")</f>
        <v/>
      </c>
      <c r="E39" s="6">
        <f>IFERROR(COUNTIFS(Raw!C2:C376,"typo_fuzzy",Raw!J2:J376,TRUE)/COUNTIF(Raw!C2:C376,"typo_fuzzy"),"")</f>
        <v/>
      </c>
      <c r="F39" s="6">
        <f>IFERROR(AVERAGEIFS(Raw!M2:M376,Raw!C2:C376,"typo_fuzzy"),"")</f>
        <v/>
      </c>
      <c r="G39" s="6">
        <f>IFERROR(AVERAGEIFS(Raw!N2:N376,Raw!C2:C376,"typo_fuzzy"),"")</f>
        <v/>
      </c>
    </row>
    <row r="40">
      <c r="A40" s="5" t="inlineStr">
        <is>
          <t>multilingual_edge</t>
        </is>
      </c>
      <c r="B40" s="5">
        <f>COUNTIF(Raw!C2:C376,"multilingual_edge")</f>
        <v/>
      </c>
      <c r="C40" s="6">
        <f>IFERROR(COUNTIFS(Raw!C2:C376,"multilingual_edge",Raw!I2:I376,TRUE)/COUNTIF(Raw!C2:C376,"multilingual_edge"),"")</f>
        <v/>
      </c>
      <c r="D40" s="6">
        <f>IFERROR(COUNTIFS(Raw!C2:C376,"multilingual_edge",Raw!K2:K376,"success")/COUNTIF(Raw!C2:C376,"multilingual_edge"),"")</f>
        <v/>
      </c>
      <c r="E40" s="6">
        <f>IFERROR(COUNTIFS(Raw!C2:C376,"multilingual_edge",Raw!J2:J376,TRUE)/COUNTIF(Raw!C2:C376,"multilingual_edge"),"")</f>
        <v/>
      </c>
      <c r="F40" s="6">
        <f>IFERROR(AVERAGEIFS(Raw!M2:M376,Raw!C2:C376,"multilingual_edge"),"")</f>
        <v/>
      </c>
      <c r="G40" s="6">
        <f>IFERROR(AVERAGEIFS(Raw!N2:N376,Raw!C2:C376,"multilingual_edge"),"")</f>
        <v/>
      </c>
    </row>
    <row r="41">
      <c r="A41" s="5" t="inlineStr">
        <is>
          <t>property_ambiguity</t>
        </is>
      </c>
      <c r="B41" s="5">
        <f>COUNTIF(Raw!C2:C376,"property_ambiguity")</f>
        <v/>
      </c>
      <c r="C41" s="6">
        <f>IFERROR(COUNTIFS(Raw!C2:C376,"property_ambiguity",Raw!I2:I376,TRUE)/COUNTIF(Raw!C2:C376,"property_ambiguity"),"")</f>
        <v/>
      </c>
      <c r="D41" s="6">
        <f>IFERROR(COUNTIFS(Raw!C2:C376,"property_ambiguity",Raw!K2:K376,"success")/COUNTIF(Raw!C2:C376,"property_ambiguity"),"")</f>
        <v/>
      </c>
      <c r="E41" s="6">
        <f>IFERROR(COUNTIFS(Raw!C2:C376,"property_ambiguity",Raw!J2:J376,TRUE)/COUNTIF(Raw!C2:C376,"property_ambiguity"),"")</f>
        <v/>
      </c>
      <c r="F41" s="6">
        <f>IFERROR(AVERAGEIFS(Raw!M2:M376,Raw!C2:C376,"property_ambiguity"),"")</f>
        <v/>
      </c>
      <c r="G41" s="6">
        <f>IFERROR(AVERAGEIFS(Raw!N2:N376,Raw!C2:C376,"property_ambiguity"),"")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32.92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14.22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14.29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16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15.09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16.12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16.44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16.12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16.94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14.93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13.2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13.78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15.21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14.26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14.78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13.96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14.84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15.75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14.79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15.02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16.18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15.77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15.68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17.43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17.13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17.47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19.56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19.14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19.19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20.36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19.33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20.29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20.64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19.74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20.65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19.94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20.46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20.76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22.27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21.19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22.13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21.92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21.27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22.12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14.94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13.3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14.03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17.5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16.68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17.43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17.8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16.65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17.43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15.57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13.74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14.22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16.19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14.89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15.85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16.58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15.92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16.62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15.07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13.61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14.28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16.13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15.3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15.91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16.21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15.55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16.24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15.09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13.61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14.15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15.62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14.5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14.67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15.62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14.61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15.4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16.46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15.58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16.13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18.47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16.42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16.86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17.87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15.89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16.51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17.3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15.47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16.17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19.04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16.83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16.7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18.11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15.84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16.29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20.62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19.15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19.92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23.14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25.89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24.03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25.67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22.65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25.09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20.06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17.31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18.39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21.01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19.78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17.99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19.63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16.27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16.51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23.44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20.38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22.48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23.99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21.91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22.35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22.6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20.63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20.73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21.07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20.11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20.22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22.01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20.38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21.05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22.29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20.82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21.54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17.39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14.95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15.94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19.26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16.46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17.43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17.96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15.34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16.51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21.24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19.21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19.91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20.95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20.19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19.96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22.25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20.35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21.02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16.72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14.81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15.57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18.37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19.97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18.1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20.61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16.43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16.93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12.51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11.52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11.95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14.02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12.83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12.5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14.66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13.35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13.5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13.26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11.4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11.76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13.94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12.95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12.3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14.35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12.91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12.55</v>
      </c>
    </row>
    <row r="182">
      <c r="A182" s="5" t="inlineStr">
        <is>
          <t>cross_kg_001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20.48</v>
      </c>
    </row>
    <row r="183">
      <c r="A183" s="5" t="inlineStr">
        <is>
          <t>cross_kg_001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20.93</v>
      </c>
    </row>
    <row r="184">
      <c r="A184" s="5" t="inlineStr">
        <is>
          <t>cross_kg_001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21.15</v>
      </c>
    </row>
    <row r="185">
      <c r="A185" s="5" t="inlineStr">
        <is>
          <t>cross_kg_002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15.36</v>
      </c>
    </row>
    <row r="186">
      <c r="A186" s="5" t="inlineStr">
        <is>
          <t>cross_kg_002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16.41</v>
      </c>
    </row>
    <row r="187">
      <c r="A187" s="5" t="inlineStr">
        <is>
          <t>cross_kg_002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16.08</v>
      </c>
    </row>
    <row r="188">
      <c r="A188" s="5" t="inlineStr">
        <is>
          <t>cross_kg_003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18.05</v>
      </c>
    </row>
    <row r="189">
      <c r="A189" s="5" t="inlineStr">
        <is>
          <t>cross_kg_003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22.74</v>
      </c>
    </row>
    <row r="190">
      <c r="A190" s="5" t="inlineStr">
        <is>
          <t>cross_kg_003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cross_kg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18.08</v>
      </c>
    </row>
    <row r="191">
      <c r="A191" s="5" t="inlineStr">
        <is>
          <t>cross_kg_004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21.17</v>
      </c>
    </row>
    <row r="192">
      <c r="A192" s="5" t="inlineStr">
        <is>
          <t>cross_kg_004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21.61</v>
      </c>
    </row>
    <row r="193">
      <c r="A193" s="5" t="inlineStr">
        <is>
          <t>cross_kg_004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17.01</v>
      </c>
    </row>
    <row r="194">
      <c r="A194" s="5" t="inlineStr">
        <is>
          <t>cross_kg_005</t>
        </is>
      </c>
      <c r="B194" s="5" t="n">
        <v>1</v>
      </c>
      <c r="C194" s="5" t="inlineStr">
        <is>
          <t>cross_kg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cross_kg</t>
        </is>
      </c>
      <c r="H194" s="5" t="inlineStr">
        <is>
          <t>cross_kg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17.5</v>
      </c>
    </row>
    <row r="195">
      <c r="A195" s="5" t="inlineStr">
        <is>
          <t>cross_kg_005</t>
        </is>
      </c>
      <c r="B195" s="5" t="n">
        <v>1</v>
      </c>
      <c r="C195" s="5" t="inlineStr">
        <is>
          <t>cross_kg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cross_kg</t>
        </is>
      </c>
      <c r="H195" s="5" t="inlineStr">
        <is>
          <t>cross_kg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22.37</v>
      </c>
    </row>
    <row r="196">
      <c r="A196" s="5" t="inlineStr">
        <is>
          <t>cross_kg_005</t>
        </is>
      </c>
      <c r="B196" s="5" t="n">
        <v>1</v>
      </c>
      <c r="C196" s="5" t="inlineStr">
        <is>
          <t>cross_kg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cross_kg</t>
        </is>
      </c>
      <c r="H196" s="5" t="inlineStr">
        <is>
          <t>cross_kg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20.64</v>
      </c>
    </row>
    <row r="197">
      <c r="A197" s="5" t="inlineStr">
        <is>
          <t>cross_kg_006</t>
        </is>
      </c>
      <c r="B197" s="5" t="n">
        <v>1</v>
      </c>
      <c r="C197" s="5" t="inlineStr">
        <is>
          <t>cross_kg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cross_kg</t>
        </is>
      </c>
      <c r="H197" s="5" t="inlineStr">
        <is>
          <t>cross_kg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15.55</v>
      </c>
    </row>
    <row r="198">
      <c r="A198" s="5" t="inlineStr">
        <is>
          <t>cross_kg_006</t>
        </is>
      </c>
      <c r="B198" s="5" t="n">
        <v>1</v>
      </c>
      <c r="C198" s="5" t="inlineStr">
        <is>
          <t>cross_kg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cross_kg</t>
        </is>
      </c>
      <c r="H198" s="5" t="inlineStr">
        <is>
          <t>cross_kg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15.97</v>
      </c>
    </row>
    <row r="199">
      <c r="A199" s="5" t="inlineStr">
        <is>
          <t>cross_kg_006</t>
        </is>
      </c>
      <c r="B199" s="5" t="n">
        <v>1</v>
      </c>
      <c r="C199" s="5" t="inlineStr">
        <is>
          <t>cross_kg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cross_kg</t>
        </is>
      </c>
      <c r="H199" s="5" t="inlineStr">
        <is>
          <t>cross_kg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17.23</v>
      </c>
    </row>
    <row r="200">
      <c r="A200" s="5" t="inlineStr">
        <is>
          <t>cross_kg_007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17.56</v>
      </c>
    </row>
    <row r="201">
      <c r="A201" s="5" t="inlineStr">
        <is>
          <t>cross_kg_007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23.55</v>
      </c>
    </row>
    <row r="202">
      <c r="A202" s="5" t="inlineStr">
        <is>
          <t>cross_kg_007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17.14</v>
      </c>
    </row>
    <row r="203">
      <c r="A203" s="5" t="inlineStr">
        <is>
          <t>cross_kg_008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21.47</v>
      </c>
    </row>
    <row r="204">
      <c r="A204" s="5" t="inlineStr">
        <is>
          <t>cross_kg_008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21.43</v>
      </c>
    </row>
    <row r="205">
      <c r="A205" s="5" t="inlineStr">
        <is>
          <t>cross_kg_008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18.29</v>
      </c>
    </row>
    <row r="206">
      <c r="A206" s="5" t="inlineStr">
        <is>
          <t>cross_kg_009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17.62</v>
      </c>
    </row>
    <row r="207">
      <c r="A207" s="5" t="inlineStr">
        <is>
          <t>cross_kg_009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23.31</v>
      </c>
    </row>
    <row r="208">
      <c r="A208" s="5" t="inlineStr">
        <is>
          <t>cross_kg_009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16.82</v>
      </c>
    </row>
    <row r="209">
      <c r="A209" s="5" t="inlineStr">
        <is>
          <t>cross_kg_010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15.88</v>
      </c>
    </row>
    <row r="210">
      <c r="A210" s="5" t="inlineStr">
        <is>
          <t>cross_kg_010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16.28</v>
      </c>
    </row>
    <row r="211">
      <c r="A211" s="5" t="inlineStr">
        <is>
          <t>cross_kg_010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16.56</v>
      </c>
    </row>
    <row r="212">
      <c r="A212" s="5" t="inlineStr">
        <is>
          <t>cross_kg_011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17.5</v>
      </c>
    </row>
    <row r="213">
      <c r="A213" s="5" t="inlineStr">
        <is>
          <t>cross_kg_011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18.9</v>
      </c>
    </row>
    <row r="214">
      <c r="A214" s="5" t="inlineStr">
        <is>
          <t>cross_kg_011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17.23</v>
      </c>
    </row>
    <row r="215">
      <c r="A215" s="5" t="inlineStr">
        <is>
          <t>cross_kg_012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16.52</v>
      </c>
    </row>
    <row r="216">
      <c r="A216" s="5" t="inlineStr">
        <is>
          <t>cross_kg_012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18.2</v>
      </c>
    </row>
    <row r="217">
      <c r="A217" s="5" t="inlineStr">
        <is>
          <t>cross_kg_012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17.37</v>
      </c>
    </row>
    <row r="218">
      <c r="A218" s="5" t="inlineStr">
        <is>
          <t>open_kg_001</t>
        </is>
      </c>
      <c r="B218" s="5" t="n">
        <v>1</v>
      </c>
      <c r="C218" s="5" t="inlineStr">
        <is>
          <t>open_kg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open_kg</t>
        </is>
      </c>
      <c r="H218" s="5" t="inlineStr">
        <is>
          <t>open_kg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26.16</v>
      </c>
    </row>
    <row r="219">
      <c r="A219" s="5" t="inlineStr">
        <is>
          <t>open_kg_001</t>
        </is>
      </c>
      <c r="B219" s="5" t="n">
        <v>1</v>
      </c>
      <c r="C219" s="5" t="inlineStr">
        <is>
          <t>open_kg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open_kg</t>
        </is>
      </c>
      <c r="H219" s="5" t="inlineStr">
        <is>
          <t>open_kg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24.37</v>
      </c>
    </row>
    <row r="220">
      <c r="A220" s="5" t="inlineStr">
        <is>
          <t>open_kg_001</t>
        </is>
      </c>
      <c r="B220" s="5" t="n">
        <v>1</v>
      </c>
      <c r="C220" s="5" t="inlineStr">
        <is>
          <t>open_kg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open_kg</t>
        </is>
      </c>
      <c r="H220" s="5" t="inlineStr">
        <is>
          <t>open_kg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24.24</v>
      </c>
    </row>
    <row r="221">
      <c r="A221" s="5" t="inlineStr">
        <is>
          <t>open_kg_002</t>
        </is>
      </c>
      <c r="B221" s="5" t="n">
        <v>1</v>
      </c>
      <c r="C221" s="5" t="inlineStr">
        <is>
          <t>open_kg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open_kg</t>
        </is>
      </c>
      <c r="H221" s="5" t="inlineStr">
        <is>
          <t>open_kg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0</v>
      </c>
      <c r="N221" s="5" t="n">
        <v>0</v>
      </c>
      <c r="O221" s="5" t="n">
        <v>28.32</v>
      </c>
    </row>
    <row r="222">
      <c r="A222" s="5" t="inlineStr">
        <is>
          <t>open_kg_002</t>
        </is>
      </c>
      <c r="B222" s="5" t="n">
        <v>1</v>
      </c>
      <c r="C222" s="5" t="inlineStr">
        <is>
          <t>open_kg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open_kg</t>
        </is>
      </c>
      <c r="H222" s="5" t="inlineStr">
        <is>
          <t>open_kg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0</v>
      </c>
      <c r="N222" s="5" t="n">
        <v>0</v>
      </c>
      <c r="O222" s="5" t="n">
        <v>28.39</v>
      </c>
    </row>
    <row r="223">
      <c r="A223" s="5" t="inlineStr">
        <is>
          <t>open_kg_002</t>
        </is>
      </c>
      <c r="B223" s="5" t="n">
        <v>1</v>
      </c>
      <c r="C223" s="5" t="inlineStr">
        <is>
          <t>open_kg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open_kg</t>
        </is>
      </c>
      <c r="H223" s="5" t="inlineStr">
        <is>
          <t>open_kg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0</v>
      </c>
      <c r="N223" s="5" t="n">
        <v>0</v>
      </c>
      <c r="O223" s="5" t="n">
        <v>28.07</v>
      </c>
    </row>
    <row r="224">
      <c r="A224" s="5" t="inlineStr">
        <is>
          <t>open_kg_003</t>
        </is>
      </c>
      <c r="B224" s="5" t="n">
        <v>1</v>
      </c>
      <c r="C224" s="5" t="inlineStr">
        <is>
          <t>open_kg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open_kg</t>
        </is>
      </c>
      <c r="H224" s="5" t="inlineStr">
        <is>
          <t>open_kg</t>
        </is>
      </c>
      <c r="I224" s="5" t="b">
        <v>1</v>
      </c>
      <c r="J224" s="5" t="b">
        <v>1</v>
      </c>
      <c r="K224" s="5" t="inlineStr">
        <is>
          <t>execution_failure</t>
        </is>
      </c>
      <c r="L224" s="5" t="inlineStr">
        <is>
          <t>URLError: HTTP Error 400: Bad Request</t>
        </is>
      </c>
      <c r="M224" s="5" t="n">
        <v>0</v>
      </c>
      <c r="N224" s="5" t="n">
        <v>0</v>
      </c>
      <c r="O224" s="5" t="n">
        <v>25.4</v>
      </c>
    </row>
    <row r="225">
      <c r="A225" s="5" t="inlineStr">
        <is>
          <t>open_kg_003</t>
        </is>
      </c>
      <c r="B225" s="5" t="n">
        <v>1</v>
      </c>
      <c r="C225" s="5" t="inlineStr">
        <is>
          <t>open_kg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open_kg</t>
        </is>
      </c>
      <c r="H225" s="5" t="inlineStr">
        <is>
          <t>open_kg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19.08</v>
      </c>
    </row>
    <row r="226">
      <c r="A226" s="5" t="inlineStr">
        <is>
          <t>open_kg_003</t>
        </is>
      </c>
      <c r="B226" s="5" t="n">
        <v>1</v>
      </c>
      <c r="C226" s="5" t="inlineStr">
        <is>
          <t>open_kg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open_kg</t>
        </is>
      </c>
      <c r="H226" s="5" t="inlineStr">
        <is>
          <t>open_kg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24.97</v>
      </c>
    </row>
    <row r="227">
      <c r="A227" s="5" t="inlineStr">
        <is>
          <t>open_kg_004</t>
        </is>
      </c>
      <c r="B227" s="5" t="n">
        <v>1</v>
      </c>
      <c r="C227" s="5" t="inlineStr">
        <is>
          <t>open_kg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open_kg</t>
        </is>
      </c>
      <c r="H227" s="5" t="inlineStr">
        <is>
          <t>open_kg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34.17</v>
      </c>
    </row>
    <row r="228">
      <c r="A228" s="5" t="inlineStr">
        <is>
          <t>open_kg_004</t>
        </is>
      </c>
      <c r="B228" s="5" t="n">
        <v>1</v>
      </c>
      <c r="C228" s="5" t="inlineStr">
        <is>
          <t>open_kg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open_kg</t>
        </is>
      </c>
      <c r="H228" s="5" t="inlineStr">
        <is>
          <t>template</t>
        </is>
      </c>
      <c r="I228" s="5" t="b">
        <v>0</v>
      </c>
      <c r="J228" s="5" t="b">
        <v>1</v>
      </c>
      <c r="K228" s="5" t="inlineStr">
        <is>
          <t>success</t>
        </is>
      </c>
      <c r="L228" s="5" t="n"/>
      <c r="M228" s="5" t="n">
        <v>0</v>
      </c>
      <c r="N228" s="5" t="n">
        <v>0.0054</v>
      </c>
      <c r="O228" s="5" t="n">
        <v>7.93</v>
      </c>
    </row>
    <row r="229">
      <c r="A229" s="5" t="inlineStr">
        <is>
          <t>open_kg_004</t>
        </is>
      </c>
      <c r="B229" s="5" t="n">
        <v>1</v>
      </c>
      <c r="C229" s="5" t="inlineStr">
        <is>
          <t>open_kg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open_kg</t>
        </is>
      </c>
      <c r="H229" s="5" t="inlineStr">
        <is>
          <t>open_kg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29.85</v>
      </c>
    </row>
    <row r="230">
      <c r="A230" s="5" t="inlineStr">
        <is>
          <t>open_kg_005</t>
        </is>
      </c>
      <c r="B230" s="5" t="n">
        <v>1</v>
      </c>
      <c r="C230" s="5" t="inlineStr">
        <is>
          <t>open_kg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open_kg</t>
        </is>
      </c>
      <c r="H230" s="5" t="inlineStr">
        <is>
          <t>open_kg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0</v>
      </c>
      <c r="N230" s="5" t="n">
        <v>0</v>
      </c>
      <c r="O230" s="5" t="n">
        <v>37.22</v>
      </c>
    </row>
    <row r="231">
      <c r="A231" s="5" t="inlineStr">
        <is>
          <t>open_kg_005</t>
        </is>
      </c>
      <c r="B231" s="5" t="n">
        <v>1</v>
      </c>
      <c r="C231" s="5" t="inlineStr">
        <is>
          <t>open_kg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open_kg</t>
        </is>
      </c>
      <c r="H231" s="5" t="inlineStr">
        <is>
          <t>open_kg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0</v>
      </c>
      <c r="N231" s="5" t="n">
        <v>0</v>
      </c>
      <c r="O231" s="5" t="n">
        <v>38.11</v>
      </c>
    </row>
    <row r="232">
      <c r="A232" s="5" t="inlineStr">
        <is>
          <t>open_kg_005</t>
        </is>
      </c>
      <c r="B232" s="5" t="n">
        <v>1</v>
      </c>
      <c r="C232" s="5" t="inlineStr">
        <is>
          <t>open_kg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open_kg</t>
        </is>
      </c>
      <c r="H232" s="5" t="inlineStr">
        <is>
          <t>open_kg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0</v>
      </c>
      <c r="N232" s="5" t="n">
        <v>0</v>
      </c>
      <c r="O232" s="5" t="n">
        <v>38.69</v>
      </c>
    </row>
    <row r="233">
      <c r="A233" s="5" t="inlineStr">
        <is>
          <t>open_kg_006</t>
        </is>
      </c>
      <c r="B233" s="5" t="n">
        <v>1</v>
      </c>
      <c r="C233" s="5" t="inlineStr">
        <is>
          <t>open_kg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open_kg</t>
        </is>
      </c>
      <c r="H233" s="5" t="inlineStr">
        <is>
          <t>open_kg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24.12</v>
      </c>
    </row>
    <row r="234">
      <c r="A234" s="5" t="inlineStr">
        <is>
          <t>open_kg_006</t>
        </is>
      </c>
      <c r="B234" s="5" t="n">
        <v>1</v>
      </c>
      <c r="C234" s="5" t="inlineStr">
        <is>
          <t>open_kg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open_kg</t>
        </is>
      </c>
      <c r="H234" s="5" t="inlineStr">
        <is>
          <t>open_kg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24.87</v>
      </c>
    </row>
    <row r="235">
      <c r="A235" s="5" t="inlineStr">
        <is>
          <t>open_kg_006</t>
        </is>
      </c>
      <c r="B235" s="5" t="n">
        <v>1</v>
      </c>
      <c r="C235" s="5" t="inlineStr">
        <is>
          <t>open_kg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open_kg</t>
        </is>
      </c>
      <c r="H235" s="5" t="inlineStr">
        <is>
          <t>open_kg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25.84</v>
      </c>
    </row>
    <row r="236">
      <c r="A236" s="5" t="inlineStr">
        <is>
          <t>count_kg1_001</t>
        </is>
      </c>
      <c r="B236" s="5" t="n">
        <v>2</v>
      </c>
      <c r="C236" s="5" t="inlineStr">
        <is>
          <t>count_kg1</t>
        </is>
      </c>
      <c r="D236" s="5" t="inlineStr">
        <is>
          <t>flights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0</v>
      </c>
      <c r="K236" s="5" t="inlineStr">
        <is>
          <t>sparql_build_failure</t>
        </is>
      </c>
      <c r="L236" s="5" t="inlineStr">
        <is>
          <t>params={'property': 'airline', 'filter_value': 'Austrian Airlines', 'mode': 'count'}</t>
        </is>
      </c>
      <c r="M236" s="5" t="n">
        <v>0</v>
      </c>
      <c r="N236" s="5" t="n">
        <v>0</v>
      </c>
      <c r="O236" s="5" t="n">
        <v>8.84</v>
      </c>
    </row>
    <row r="237">
      <c r="A237" s="5" t="inlineStr">
        <is>
          <t>count_kg1_001</t>
        </is>
      </c>
      <c r="B237" s="5" t="n">
        <v>2</v>
      </c>
      <c r="C237" s="5" t="inlineStr">
        <is>
          <t>count_kg1</t>
        </is>
      </c>
      <c r="D237" s="5" t="inlineStr">
        <is>
          <t>flights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8.779999999999999</v>
      </c>
    </row>
    <row r="238">
      <c r="A238" s="5" t="inlineStr">
        <is>
          <t>count_kg1_001</t>
        </is>
      </c>
      <c r="B238" s="5" t="n">
        <v>2</v>
      </c>
      <c r="C238" s="5" t="inlineStr">
        <is>
          <t>count_kg1</t>
        </is>
      </c>
      <c r="D238" s="5" t="inlineStr">
        <is>
          <t>flights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open_kg</t>
        </is>
      </c>
      <c r="I238" s="5" t="b">
        <v>0</v>
      </c>
      <c r="J238" s="5" t="b">
        <v>1</v>
      </c>
      <c r="K238" s="5" t="inlineStr">
        <is>
          <t>execution_failure</t>
        </is>
      </c>
      <c r="L238" s="5" t="inlineStr">
        <is>
          <t>URLError: HTTP Error 400: Bad Request</t>
        </is>
      </c>
      <c r="M238" s="5" t="n">
        <v>0</v>
      </c>
      <c r="N238" s="5" t="n">
        <v>0</v>
      </c>
      <c r="O238" s="5" t="n">
        <v>43.45</v>
      </c>
    </row>
    <row r="239">
      <c r="A239" s="5" t="inlineStr">
        <is>
          <t>count_kg1_002</t>
        </is>
      </c>
      <c r="B239" s="5" t="n">
        <v>2</v>
      </c>
      <c r="C239" s="5" t="inlineStr">
        <is>
          <t>count_kg1</t>
        </is>
      </c>
      <c r="D239" s="5" t="inlineStr">
        <is>
          <t>flights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1</v>
      </c>
      <c r="N239" s="5" t="n">
        <v>1</v>
      </c>
      <c r="O239" s="5" t="n">
        <v>12.64</v>
      </c>
    </row>
    <row r="240">
      <c r="A240" s="5" t="inlineStr">
        <is>
          <t>count_kg1_002</t>
        </is>
      </c>
      <c r="B240" s="5" t="n">
        <v>2</v>
      </c>
      <c r="C240" s="5" t="inlineStr">
        <is>
          <t>count_kg1</t>
        </is>
      </c>
      <c r="D240" s="5" t="inlineStr">
        <is>
          <t>flights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1</v>
      </c>
      <c r="N240" s="5" t="n">
        <v>1</v>
      </c>
      <c r="O240" s="5" t="n">
        <v>8.34</v>
      </c>
    </row>
    <row r="241">
      <c r="A241" s="5" t="inlineStr">
        <is>
          <t>count_kg1_002</t>
        </is>
      </c>
      <c r="B241" s="5" t="n">
        <v>2</v>
      </c>
      <c r="C241" s="5" t="inlineStr">
        <is>
          <t>count_kg1</t>
        </is>
      </c>
      <c r="D241" s="5" t="inlineStr">
        <is>
          <t>flights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1</v>
      </c>
      <c r="N241" s="5" t="n">
        <v>1</v>
      </c>
      <c r="O241" s="5" t="n">
        <v>8.27</v>
      </c>
    </row>
    <row r="242">
      <c r="A242" s="5" t="inlineStr">
        <is>
          <t>count_kg1_003</t>
        </is>
      </c>
      <c r="B242" s="5" t="n">
        <v>2</v>
      </c>
      <c r="C242" s="5" t="inlineStr">
        <is>
          <t>count_kg1</t>
        </is>
      </c>
      <c r="D242" s="5" t="inlineStr">
        <is>
          <t>flights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8.52</v>
      </c>
    </row>
    <row r="243">
      <c r="A243" s="5" t="inlineStr">
        <is>
          <t>count_kg1_003</t>
        </is>
      </c>
      <c r="B243" s="5" t="n">
        <v>2</v>
      </c>
      <c r="C243" s="5" t="inlineStr">
        <is>
          <t>count_kg1</t>
        </is>
      </c>
      <c r="D243" s="5" t="inlineStr">
        <is>
          <t>flights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1</v>
      </c>
      <c r="N243" s="5" t="n">
        <v>1</v>
      </c>
      <c r="O243" s="5" t="n">
        <v>8.140000000000001</v>
      </c>
    </row>
    <row r="244">
      <c r="A244" s="5" t="inlineStr">
        <is>
          <t>count_kg1_003</t>
        </is>
      </c>
      <c r="B244" s="5" t="n">
        <v>2</v>
      </c>
      <c r="C244" s="5" t="inlineStr">
        <is>
          <t>count_kg1</t>
        </is>
      </c>
      <c r="D244" s="5" t="inlineStr">
        <is>
          <t>flights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1</v>
      </c>
      <c r="N244" s="5" t="n">
        <v>1</v>
      </c>
      <c r="O244" s="5" t="n">
        <v>8.27</v>
      </c>
    </row>
    <row r="245">
      <c r="A245" s="5" t="inlineStr">
        <is>
          <t>count_kg3_001</t>
        </is>
      </c>
      <c r="B245" s="5" t="n">
        <v>2</v>
      </c>
      <c r="C245" s="5" t="inlineStr">
        <is>
          <t>count_kg3</t>
        </is>
      </c>
      <c r="D245" s="5" t="inlineStr">
        <is>
          <t>university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7.56</v>
      </c>
    </row>
    <row r="246">
      <c r="A246" s="5" t="inlineStr">
        <is>
          <t>count_kg3_001</t>
        </is>
      </c>
      <c r="B246" s="5" t="n">
        <v>2</v>
      </c>
      <c r="C246" s="5" t="inlineStr">
        <is>
          <t>count_kg3</t>
        </is>
      </c>
      <c r="D246" s="5" t="inlineStr">
        <is>
          <t>university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n">
        <v>1</v>
      </c>
      <c r="N246" s="5" t="n">
        <v>1</v>
      </c>
      <c r="O246" s="5" t="n">
        <v>12.84</v>
      </c>
    </row>
    <row r="247">
      <c r="A247" s="5" t="inlineStr">
        <is>
          <t>count_kg3_001</t>
        </is>
      </c>
      <c r="B247" s="5" t="n">
        <v>2</v>
      </c>
      <c r="C247" s="5" t="inlineStr">
        <is>
          <t>count_kg3</t>
        </is>
      </c>
      <c r="D247" s="5" t="inlineStr">
        <is>
          <t>university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1</v>
      </c>
      <c r="N247" s="5" t="n">
        <v>1</v>
      </c>
      <c r="O247" s="5" t="n">
        <v>9.02</v>
      </c>
    </row>
    <row r="248">
      <c r="A248" s="5" t="inlineStr">
        <is>
          <t>count_kg3_002</t>
        </is>
      </c>
      <c r="B248" s="5" t="n">
        <v>2</v>
      </c>
      <c r="C248" s="5" t="inlineStr">
        <is>
          <t>count_kg3</t>
        </is>
      </c>
      <c r="D248" s="5" t="inlineStr">
        <is>
          <t>university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1</v>
      </c>
      <c r="N248" s="5" t="n">
        <v>1</v>
      </c>
      <c r="O248" s="5" t="n">
        <v>7.53</v>
      </c>
    </row>
    <row r="249">
      <c r="A249" s="5" t="inlineStr">
        <is>
          <t>count_kg3_002</t>
        </is>
      </c>
      <c r="B249" s="5" t="n">
        <v>2</v>
      </c>
      <c r="C249" s="5" t="inlineStr">
        <is>
          <t>count_kg3</t>
        </is>
      </c>
      <c r="D249" s="5" t="inlineStr">
        <is>
          <t>university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1</v>
      </c>
      <c r="N249" s="5" t="n">
        <v>1</v>
      </c>
      <c r="O249" s="5" t="n">
        <v>11.08</v>
      </c>
    </row>
    <row r="250">
      <c r="A250" s="5" t="inlineStr">
        <is>
          <t>count_kg3_002</t>
        </is>
      </c>
      <c r="B250" s="5" t="n">
        <v>2</v>
      </c>
      <c r="C250" s="5" t="inlineStr">
        <is>
          <t>count_kg3</t>
        </is>
      </c>
      <c r="D250" s="5" t="inlineStr">
        <is>
          <t>university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1</v>
      </c>
      <c r="N250" s="5" t="n">
        <v>1</v>
      </c>
      <c r="O250" s="5" t="n">
        <v>7.72</v>
      </c>
    </row>
    <row r="251">
      <c r="A251" s="5" t="inlineStr">
        <is>
          <t>count_kg3_003</t>
        </is>
      </c>
      <c r="B251" s="5" t="n">
        <v>2</v>
      </c>
      <c r="C251" s="5" t="inlineStr">
        <is>
          <t>count_kg3</t>
        </is>
      </c>
      <c r="D251" s="5" t="inlineStr">
        <is>
          <t>university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7.77</v>
      </c>
    </row>
    <row r="252">
      <c r="A252" s="5" t="inlineStr">
        <is>
          <t>count_kg3_003</t>
        </is>
      </c>
      <c r="B252" s="5" t="n">
        <v>2</v>
      </c>
      <c r="C252" s="5" t="inlineStr">
        <is>
          <t>count_kg3</t>
        </is>
      </c>
      <c r="D252" s="5" t="inlineStr">
        <is>
          <t>university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9.029999999999999</v>
      </c>
    </row>
    <row r="253">
      <c r="A253" s="5" t="inlineStr">
        <is>
          <t>count_kg3_003</t>
        </is>
      </c>
      <c r="B253" s="5" t="n">
        <v>2</v>
      </c>
      <c r="C253" s="5" t="inlineStr">
        <is>
          <t>count_kg3</t>
        </is>
      </c>
      <c r="D253" s="5" t="inlineStr">
        <is>
          <t>university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9.109999999999999</v>
      </c>
    </row>
    <row r="254">
      <c r="A254" s="5" t="inlineStr">
        <is>
          <t>filter_numeric_kg2_001</t>
        </is>
      </c>
      <c r="B254" s="5" t="n">
        <v>2</v>
      </c>
      <c r="C254" s="5" t="inlineStr">
        <is>
          <t>filter_numeric_kg2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10.74</v>
      </c>
    </row>
    <row r="255">
      <c r="A255" s="5" t="inlineStr">
        <is>
          <t>filter_numeric_kg2_001</t>
        </is>
      </c>
      <c r="B255" s="5" t="n">
        <v>2</v>
      </c>
      <c r="C255" s="5" t="inlineStr">
        <is>
          <t>filter_numeric_kg2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10.85</v>
      </c>
    </row>
    <row r="256">
      <c r="A256" s="5" t="inlineStr">
        <is>
          <t>filter_numeric_kg2_001</t>
        </is>
      </c>
      <c r="B256" s="5" t="n">
        <v>2</v>
      </c>
      <c r="C256" s="5" t="inlineStr">
        <is>
          <t>filter_numeric_kg2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10.82</v>
      </c>
    </row>
    <row r="257">
      <c r="A257" s="5" t="inlineStr">
        <is>
          <t>filter_numeric_kg2_002</t>
        </is>
      </c>
      <c r="B257" s="5" t="n">
        <v>2</v>
      </c>
      <c r="C257" s="5" t="inlineStr">
        <is>
          <t>filter_numeric_kg2</t>
        </is>
      </c>
      <c r="D257" s="5" t="inlineStr">
        <is>
          <t>airports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0</v>
      </c>
      <c r="N257" s="5" t="n">
        <v>0.9772999999999999</v>
      </c>
      <c r="O257" s="5" t="n">
        <v>7.87</v>
      </c>
    </row>
    <row r="258">
      <c r="A258" s="5" t="inlineStr">
        <is>
          <t>filter_numeric_kg2_002</t>
        </is>
      </c>
      <c r="B258" s="5" t="n">
        <v>2</v>
      </c>
      <c r="C258" s="5" t="inlineStr">
        <is>
          <t>filter_numeric_kg2</t>
        </is>
      </c>
      <c r="D258" s="5" t="inlineStr">
        <is>
          <t>airports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0</v>
      </c>
      <c r="N258" s="5" t="n">
        <v>0.9772999999999999</v>
      </c>
      <c r="O258" s="5" t="n">
        <v>7.9</v>
      </c>
    </row>
    <row r="259">
      <c r="A259" s="5" t="inlineStr">
        <is>
          <t>filter_numeric_kg2_002</t>
        </is>
      </c>
      <c r="B259" s="5" t="n">
        <v>2</v>
      </c>
      <c r="C259" s="5" t="inlineStr">
        <is>
          <t>filter_numeric_kg2</t>
        </is>
      </c>
      <c r="D259" s="5" t="inlineStr">
        <is>
          <t>airports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0</v>
      </c>
      <c r="N259" s="5" t="n">
        <v>0.9772999999999999</v>
      </c>
      <c r="O259" s="5" t="n">
        <v>7.8</v>
      </c>
    </row>
    <row r="260">
      <c r="A260" s="5" t="inlineStr">
        <is>
          <t>filter_string_kg2_001</t>
        </is>
      </c>
      <c r="B260" s="5" t="n">
        <v>2</v>
      </c>
      <c r="C260" s="5" t="inlineStr">
        <is>
          <t>filter_string_kg2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9.94</v>
      </c>
    </row>
    <row r="261">
      <c r="A261" s="5" t="inlineStr">
        <is>
          <t>filter_string_kg2_001</t>
        </is>
      </c>
      <c r="B261" s="5" t="n">
        <v>2</v>
      </c>
      <c r="C261" s="5" t="inlineStr">
        <is>
          <t>filter_string_kg2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9.73</v>
      </c>
    </row>
    <row r="262">
      <c r="A262" s="5" t="inlineStr">
        <is>
          <t>filter_string_kg2_001</t>
        </is>
      </c>
      <c r="B262" s="5" t="n">
        <v>2</v>
      </c>
      <c r="C262" s="5" t="inlineStr">
        <is>
          <t>filter_string_kg2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9.93</v>
      </c>
    </row>
    <row r="263">
      <c r="A263" s="5" t="inlineStr">
        <is>
          <t>filter_string_kg2_002</t>
        </is>
      </c>
      <c r="B263" s="5" t="n">
        <v>2</v>
      </c>
      <c r="C263" s="5" t="inlineStr">
        <is>
          <t>filter_string_kg2</t>
        </is>
      </c>
      <c r="D263" s="5" t="inlineStr">
        <is>
          <t>airports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0</v>
      </c>
      <c r="N263" s="5" t="n">
        <v>0</v>
      </c>
      <c r="O263" s="5" t="n">
        <v>16.63</v>
      </c>
    </row>
    <row r="264">
      <c r="A264" s="5" t="inlineStr">
        <is>
          <t>filter_string_kg2_002</t>
        </is>
      </c>
      <c r="B264" s="5" t="n">
        <v>2</v>
      </c>
      <c r="C264" s="5" t="inlineStr">
        <is>
          <t>filter_string_kg2</t>
        </is>
      </c>
      <c r="D264" s="5" t="inlineStr">
        <is>
          <t>airports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0</v>
      </c>
      <c r="N264" s="5" t="n">
        <v>0</v>
      </c>
      <c r="O264" s="5" t="n">
        <v>12.3</v>
      </c>
    </row>
    <row r="265">
      <c r="A265" s="5" t="inlineStr">
        <is>
          <t>filter_string_kg2_002</t>
        </is>
      </c>
      <c r="B265" s="5" t="n">
        <v>2</v>
      </c>
      <c r="C265" s="5" t="inlineStr">
        <is>
          <t>filter_string_kg2</t>
        </is>
      </c>
      <c r="D265" s="5" t="inlineStr">
        <is>
          <t>airports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0</v>
      </c>
      <c r="N265" s="5" t="n">
        <v>0</v>
      </c>
      <c r="O265" s="5" t="n">
        <v>10.76</v>
      </c>
    </row>
    <row r="266">
      <c r="A266" s="5" t="inlineStr">
        <is>
          <t>filter_string_kg2_003</t>
        </is>
      </c>
      <c r="B266" s="5" t="n">
        <v>2</v>
      </c>
      <c r="C266" s="5" t="inlineStr">
        <is>
          <t>filter_string_kg2</t>
        </is>
      </c>
      <c r="D266" s="5" t="inlineStr">
        <is>
          <t>airports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9.800000000000001</v>
      </c>
    </row>
    <row r="267">
      <c r="A267" s="5" t="inlineStr">
        <is>
          <t>filter_string_kg2_003</t>
        </is>
      </c>
      <c r="B267" s="5" t="n">
        <v>2</v>
      </c>
      <c r="C267" s="5" t="inlineStr">
        <is>
          <t>filter_string_kg2</t>
        </is>
      </c>
      <c r="D267" s="5" t="inlineStr">
        <is>
          <t>airports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9.98</v>
      </c>
    </row>
    <row r="268">
      <c r="A268" s="5" t="inlineStr">
        <is>
          <t>filter_string_kg2_003</t>
        </is>
      </c>
      <c r="B268" s="5" t="n">
        <v>2</v>
      </c>
      <c r="C268" s="5" t="inlineStr">
        <is>
          <t>filter_string_kg2</t>
        </is>
      </c>
      <c r="D268" s="5" t="inlineStr">
        <is>
          <t>airports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10.01</v>
      </c>
    </row>
    <row r="269">
      <c r="A269" s="5" t="inlineStr">
        <is>
          <t>filter_string_kg3_001</t>
        </is>
      </c>
      <c r="B269" s="5" t="n">
        <v>2</v>
      </c>
      <c r="C269" s="5" t="inlineStr">
        <is>
          <t>filter_string_kg3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7.97</v>
      </c>
    </row>
    <row r="270">
      <c r="A270" s="5" t="inlineStr">
        <is>
          <t>filter_string_kg3_001</t>
        </is>
      </c>
      <c r="B270" s="5" t="n">
        <v>2</v>
      </c>
      <c r="C270" s="5" t="inlineStr">
        <is>
          <t>filter_string_kg3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7.65</v>
      </c>
    </row>
    <row r="271">
      <c r="A271" s="5" t="inlineStr">
        <is>
          <t>filter_string_kg3_001</t>
        </is>
      </c>
      <c r="B271" s="5" t="n">
        <v>2</v>
      </c>
      <c r="C271" s="5" t="inlineStr">
        <is>
          <t>filter_string_kg3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7.79</v>
      </c>
    </row>
    <row r="272">
      <c r="A272" s="5" t="inlineStr">
        <is>
          <t>filter_string_kg3_002</t>
        </is>
      </c>
      <c r="B272" s="5" t="n">
        <v>2</v>
      </c>
      <c r="C272" s="5" t="inlineStr">
        <is>
          <t>filter_string_kg3</t>
        </is>
      </c>
      <c r="D272" s="5" t="inlineStr">
        <is>
          <t>university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12.04</v>
      </c>
    </row>
    <row r="273">
      <c r="A273" s="5" t="inlineStr">
        <is>
          <t>filter_string_kg3_002</t>
        </is>
      </c>
      <c r="B273" s="5" t="n">
        <v>2</v>
      </c>
      <c r="C273" s="5" t="inlineStr">
        <is>
          <t>filter_string_kg3</t>
        </is>
      </c>
      <c r="D273" s="5" t="inlineStr">
        <is>
          <t>university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12.48</v>
      </c>
    </row>
    <row r="274">
      <c r="A274" s="5" t="inlineStr">
        <is>
          <t>filter_string_kg3_002</t>
        </is>
      </c>
      <c r="B274" s="5" t="n">
        <v>2</v>
      </c>
      <c r="C274" s="5" t="inlineStr">
        <is>
          <t>filter_string_kg3</t>
        </is>
      </c>
      <c r="D274" s="5" t="inlineStr">
        <is>
          <t>university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11.7</v>
      </c>
    </row>
    <row r="275">
      <c r="A275" s="5" t="inlineStr">
        <is>
          <t>ranking_kg2_001</t>
        </is>
      </c>
      <c r="B275" s="5" t="n">
        <v>2</v>
      </c>
      <c r="C275" s="5" t="inlineStr">
        <is>
          <t>ranking_kg2</t>
        </is>
      </c>
      <c r="D275" s="5" t="inlineStr">
        <is>
          <t>airports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7.77</v>
      </c>
    </row>
    <row r="276">
      <c r="A276" s="5" t="inlineStr">
        <is>
          <t>ranking_kg2_001</t>
        </is>
      </c>
      <c r="B276" s="5" t="n">
        <v>2</v>
      </c>
      <c r="C276" s="5" t="inlineStr">
        <is>
          <t>ranking_kg2</t>
        </is>
      </c>
      <c r="D276" s="5" t="inlineStr">
        <is>
          <t>airports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7.73</v>
      </c>
    </row>
    <row r="277">
      <c r="A277" s="5" t="inlineStr">
        <is>
          <t>ranking_kg2_001</t>
        </is>
      </c>
      <c r="B277" s="5" t="n">
        <v>2</v>
      </c>
      <c r="C277" s="5" t="inlineStr">
        <is>
          <t>ranking_kg2</t>
        </is>
      </c>
      <c r="D277" s="5" t="inlineStr">
        <is>
          <t>airports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7.98</v>
      </c>
    </row>
    <row r="278">
      <c r="A278" s="5" t="inlineStr">
        <is>
          <t>ranking_kg2_002</t>
        </is>
      </c>
      <c r="B278" s="5" t="n">
        <v>2</v>
      </c>
      <c r="C278" s="5" t="inlineStr">
        <is>
          <t>ranking_kg2</t>
        </is>
      </c>
      <c r="D278" s="5" t="inlineStr">
        <is>
          <t>airports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7.47</v>
      </c>
    </row>
    <row r="279">
      <c r="A279" s="5" t="inlineStr">
        <is>
          <t>ranking_kg2_002</t>
        </is>
      </c>
      <c r="B279" s="5" t="n">
        <v>2</v>
      </c>
      <c r="C279" s="5" t="inlineStr">
        <is>
          <t>ranking_kg2</t>
        </is>
      </c>
      <c r="D279" s="5" t="inlineStr">
        <is>
          <t>airports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7.58</v>
      </c>
    </row>
    <row r="280">
      <c r="A280" s="5" t="inlineStr">
        <is>
          <t>ranking_kg2_002</t>
        </is>
      </c>
      <c r="B280" s="5" t="n">
        <v>2</v>
      </c>
      <c r="C280" s="5" t="inlineStr">
        <is>
          <t>ranking_kg2</t>
        </is>
      </c>
      <c r="D280" s="5" t="inlineStr">
        <is>
          <t>airports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7.55</v>
      </c>
    </row>
    <row r="281">
      <c r="A281" s="5" t="inlineStr">
        <is>
          <t>ranking_kg2_003</t>
        </is>
      </c>
      <c r="B281" s="5" t="n">
        <v>2</v>
      </c>
      <c r="C281" s="5" t="inlineStr">
        <is>
          <t>ranking_kg2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8.029999999999999</v>
      </c>
    </row>
    <row r="282">
      <c r="A282" s="5" t="inlineStr">
        <is>
          <t>ranking_kg2_003</t>
        </is>
      </c>
      <c r="B282" s="5" t="n">
        <v>2</v>
      </c>
      <c r="C282" s="5" t="inlineStr">
        <is>
          <t>ranking_kg2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1</v>
      </c>
      <c r="N282" s="5" t="n">
        <v>1</v>
      </c>
      <c r="O282" s="5" t="n">
        <v>8.19</v>
      </c>
    </row>
    <row r="283">
      <c r="A283" s="5" t="inlineStr">
        <is>
          <t>ranking_kg2_003</t>
        </is>
      </c>
      <c r="B283" s="5" t="n">
        <v>2</v>
      </c>
      <c r="C283" s="5" t="inlineStr">
        <is>
          <t>ranking_kg2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8.08</v>
      </c>
    </row>
    <row r="284">
      <c r="A284" s="5" t="inlineStr">
        <is>
          <t>compare_two_airports_001</t>
        </is>
      </c>
      <c r="B284" s="5" t="n">
        <v>2</v>
      </c>
      <c r="C284" s="5" t="inlineStr">
        <is>
          <t>compare_two_airports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template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n">
        <v>1</v>
      </c>
      <c r="N284" s="5" t="n">
        <v>1</v>
      </c>
      <c r="O284" s="5" t="n">
        <v>4.51</v>
      </c>
    </row>
    <row r="285">
      <c r="A285" s="5" t="inlineStr">
        <is>
          <t>compare_two_airports_001</t>
        </is>
      </c>
      <c r="B285" s="5" t="n">
        <v>2</v>
      </c>
      <c r="C285" s="5" t="inlineStr">
        <is>
          <t>compare_two_airports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1</v>
      </c>
      <c r="N285" s="5" t="n">
        <v>1</v>
      </c>
      <c r="O285" s="5" t="n">
        <v>4.4</v>
      </c>
    </row>
    <row r="286">
      <c r="A286" s="5" t="inlineStr">
        <is>
          <t>compare_two_airports_001</t>
        </is>
      </c>
      <c r="B286" s="5" t="n">
        <v>2</v>
      </c>
      <c r="C286" s="5" t="inlineStr">
        <is>
          <t>compare_two_airports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1</v>
      </c>
      <c r="N286" s="5" t="n">
        <v>1</v>
      </c>
      <c r="O286" s="5" t="n">
        <v>4.12</v>
      </c>
    </row>
    <row r="287">
      <c r="A287" s="5" t="inlineStr">
        <is>
          <t>compare_two_airports_002</t>
        </is>
      </c>
      <c r="B287" s="5" t="n">
        <v>2</v>
      </c>
      <c r="C287" s="5" t="inlineStr">
        <is>
          <t>compare_two_airports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4.3</v>
      </c>
    </row>
    <row r="288">
      <c r="A288" s="5" t="inlineStr">
        <is>
          <t>compare_two_airports_002</t>
        </is>
      </c>
      <c r="B288" s="5" t="n">
        <v>2</v>
      </c>
      <c r="C288" s="5" t="inlineStr">
        <is>
          <t>compare_two_airports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1</v>
      </c>
      <c r="N288" s="5" t="n">
        <v>1</v>
      </c>
      <c r="O288" s="5" t="n">
        <v>4.15</v>
      </c>
    </row>
    <row r="289">
      <c r="A289" s="5" t="inlineStr">
        <is>
          <t>compare_two_airports_002</t>
        </is>
      </c>
      <c r="B289" s="5" t="n">
        <v>2</v>
      </c>
      <c r="C289" s="5" t="inlineStr">
        <is>
          <t>compare_two_airports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4.66</v>
      </c>
    </row>
    <row r="290">
      <c r="A290" s="5" t="inlineStr">
        <is>
          <t>compare_two_airports_003</t>
        </is>
      </c>
      <c r="B290" s="5" t="n">
        <v>2</v>
      </c>
      <c r="C290" s="5" t="inlineStr">
        <is>
          <t>compare_two_airports</t>
        </is>
      </c>
      <c r="D290" s="5" t="inlineStr">
        <is>
          <t>airports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4.11</v>
      </c>
    </row>
    <row r="291">
      <c r="A291" s="5" t="inlineStr">
        <is>
          <t>compare_two_airports_003</t>
        </is>
      </c>
      <c r="B291" s="5" t="n">
        <v>2</v>
      </c>
      <c r="C291" s="5" t="inlineStr">
        <is>
          <t>compare_two_airports</t>
        </is>
      </c>
      <c r="D291" s="5" t="inlineStr">
        <is>
          <t>airports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4.13</v>
      </c>
    </row>
    <row r="292">
      <c r="A292" s="5" t="inlineStr">
        <is>
          <t>compare_two_airports_003</t>
        </is>
      </c>
      <c r="B292" s="5" t="n">
        <v>2</v>
      </c>
      <c r="C292" s="5" t="inlineStr">
        <is>
          <t>compare_two_airports</t>
        </is>
      </c>
      <c r="D292" s="5" t="inlineStr">
        <is>
          <t>airports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4.03</v>
      </c>
    </row>
    <row r="293">
      <c r="A293" s="5" t="inlineStr">
        <is>
          <t>out_of_scope_001</t>
        </is>
      </c>
      <c r="B293" s="5" t="n">
        <v>3</v>
      </c>
      <c r="C293" s="5" t="inlineStr">
        <is>
          <t>out_of_scope</t>
        </is>
      </c>
      <c r="D293" s="5" t="n">
        <v/>
      </c>
      <c r="E293" s="5" t="inlineStr">
        <is>
          <t>en</t>
        </is>
      </c>
      <c r="F293" s="5" t="inlineStr">
        <is>
          <t>zero-shot</t>
        </is>
      </c>
      <c r="G293" s="5" t="inlineStr">
        <is>
          <t>out_of_scope</t>
        </is>
      </c>
      <c r="H293" s="5" t="inlineStr">
        <is>
          <t>out_of_scope</t>
        </is>
      </c>
      <c r="I293" s="5" t="b">
        <v>1</v>
      </c>
      <c r="J293" s="5" t="b">
        <v>0</v>
      </c>
      <c r="K293" s="5" t="inlineStr">
        <is>
          <t>success</t>
        </is>
      </c>
      <c r="L293" s="5" t="n"/>
      <c r="M293" s="5" t="n"/>
      <c r="N293" s="5" t="n"/>
      <c r="O293" s="5" t="n">
        <v>4.77</v>
      </c>
    </row>
    <row r="294">
      <c r="A294" s="5" t="inlineStr">
        <is>
          <t>out_of_scope_001</t>
        </is>
      </c>
      <c r="B294" s="5" t="n">
        <v>3</v>
      </c>
      <c r="C294" s="5" t="inlineStr">
        <is>
          <t>out_of_scope</t>
        </is>
      </c>
      <c r="D294" s="5" t="n">
        <v/>
      </c>
      <c r="E294" s="5" t="inlineStr">
        <is>
          <t>fr</t>
        </is>
      </c>
      <c r="F294" s="5" t="inlineStr">
        <is>
          <t>zero-shot</t>
        </is>
      </c>
      <c r="G294" s="5" t="inlineStr">
        <is>
          <t>out_of_scope</t>
        </is>
      </c>
      <c r="H294" s="5" t="inlineStr">
        <is>
          <t>out_of_scope</t>
        </is>
      </c>
      <c r="I294" s="5" t="b">
        <v>1</v>
      </c>
      <c r="J294" s="5" t="b">
        <v>0</v>
      </c>
      <c r="K294" s="5" t="inlineStr">
        <is>
          <t>success</t>
        </is>
      </c>
      <c r="L294" s="5" t="n"/>
      <c r="M294" s="5" t="n"/>
      <c r="N294" s="5" t="n"/>
      <c r="O294" s="5" t="n">
        <v>4.68</v>
      </c>
    </row>
    <row r="295">
      <c r="A295" s="5" t="inlineStr">
        <is>
          <t>out_of_scope_001</t>
        </is>
      </c>
      <c r="B295" s="5" t="n">
        <v>3</v>
      </c>
      <c r="C295" s="5" t="inlineStr">
        <is>
          <t>out_of_scope</t>
        </is>
      </c>
      <c r="D295" s="5" t="n">
        <v/>
      </c>
      <c r="E295" s="5" t="inlineStr">
        <is>
          <t>ar</t>
        </is>
      </c>
      <c r="F295" s="5" t="inlineStr">
        <is>
          <t>zero-shot</t>
        </is>
      </c>
      <c r="G295" s="5" t="inlineStr">
        <is>
          <t>out_of_scope</t>
        </is>
      </c>
      <c r="H295" s="5" t="inlineStr">
        <is>
          <t>out_of_scope</t>
        </is>
      </c>
      <c r="I295" s="5" t="b">
        <v>1</v>
      </c>
      <c r="J295" s="5" t="b">
        <v>0</v>
      </c>
      <c r="K295" s="5" t="inlineStr">
        <is>
          <t>success</t>
        </is>
      </c>
      <c r="L295" s="5" t="n"/>
      <c r="M295" s="5" t="n"/>
      <c r="N295" s="5" t="n"/>
      <c r="O295" s="5" t="n">
        <v>4.29</v>
      </c>
    </row>
    <row r="296">
      <c r="A296" s="5" t="inlineStr">
        <is>
          <t>out_of_scope_003</t>
        </is>
      </c>
      <c r="B296" s="5" t="n">
        <v>3</v>
      </c>
      <c r="C296" s="5" t="inlineStr">
        <is>
          <t>out_of_scope</t>
        </is>
      </c>
      <c r="D296" s="5" t="n">
        <v/>
      </c>
      <c r="E296" s="5" t="inlineStr">
        <is>
          <t>en</t>
        </is>
      </c>
      <c r="F296" s="5" t="inlineStr">
        <is>
          <t>zero-shot</t>
        </is>
      </c>
      <c r="G296" s="5" t="inlineStr">
        <is>
          <t>out_of_scope</t>
        </is>
      </c>
      <c r="H296" s="5" t="inlineStr">
        <is>
          <t>out_of_scope</t>
        </is>
      </c>
      <c r="I296" s="5" t="b">
        <v>1</v>
      </c>
      <c r="J296" s="5" t="b">
        <v>0</v>
      </c>
      <c r="K296" s="5" t="inlineStr">
        <is>
          <t>success</t>
        </is>
      </c>
      <c r="L296" s="5" t="n"/>
      <c r="M296" s="5" t="n"/>
      <c r="N296" s="5" t="n"/>
      <c r="O296" s="5" t="n">
        <v>3.82</v>
      </c>
    </row>
    <row r="297">
      <c r="A297" s="5" t="inlineStr">
        <is>
          <t>out_of_scope_003</t>
        </is>
      </c>
      <c r="B297" s="5" t="n">
        <v>3</v>
      </c>
      <c r="C297" s="5" t="inlineStr">
        <is>
          <t>out_of_scope</t>
        </is>
      </c>
      <c r="D297" s="5" t="n">
        <v/>
      </c>
      <c r="E297" s="5" t="inlineStr">
        <is>
          <t>fr</t>
        </is>
      </c>
      <c r="F297" s="5" t="inlineStr">
        <is>
          <t>zero-shot</t>
        </is>
      </c>
      <c r="G297" s="5" t="inlineStr">
        <is>
          <t>out_of_scope</t>
        </is>
      </c>
      <c r="H297" s="5" t="inlineStr">
        <is>
          <t>out_of_scope</t>
        </is>
      </c>
      <c r="I297" s="5" t="b">
        <v>1</v>
      </c>
      <c r="J297" s="5" t="b">
        <v>0</v>
      </c>
      <c r="K297" s="5" t="inlineStr">
        <is>
          <t>success</t>
        </is>
      </c>
      <c r="L297" s="5" t="n"/>
      <c r="M297" s="5" t="n"/>
      <c r="N297" s="5" t="n"/>
      <c r="O297" s="5" t="n">
        <v>3.85</v>
      </c>
    </row>
    <row r="298">
      <c r="A298" s="5" t="inlineStr">
        <is>
          <t>out_of_scope_003</t>
        </is>
      </c>
      <c r="B298" s="5" t="n">
        <v>3</v>
      </c>
      <c r="C298" s="5" t="inlineStr">
        <is>
          <t>out_of_scope</t>
        </is>
      </c>
      <c r="D298" s="5" t="n">
        <v/>
      </c>
      <c r="E298" s="5" t="inlineStr">
        <is>
          <t>ar</t>
        </is>
      </c>
      <c r="F298" s="5" t="inlineStr">
        <is>
          <t>zero-shot</t>
        </is>
      </c>
      <c r="G298" s="5" t="inlineStr">
        <is>
          <t>out_of_scope</t>
        </is>
      </c>
      <c r="H298" s="5" t="inlineStr">
        <is>
          <t>out_of_scope</t>
        </is>
      </c>
      <c r="I298" s="5" t="b">
        <v>1</v>
      </c>
      <c r="J298" s="5" t="b">
        <v>0</v>
      </c>
      <c r="K298" s="5" t="inlineStr">
        <is>
          <t>success</t>
        </is>
      </c>
      <c r="L298" s="5" t="n"/>
      <c r="M298" s="5" t="n"/>
      <c r="N298" s="5" t="n"/>
      <c r="O298" s="5" t="n">
        <v>3.82</v>
      </c>
    </row>
    <row r="299">
      <c r="A299" s="5" t="inlineStr">
        <is>
          <t>ask_query_001</t>
        </is>
      </c>
      <c r="B299" s="5" t="n">
        <v>3</v>
      </c>
      <c r="C299" s="5" t="inlineStr">
        <is>
          <t>ask_query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ask_query</t>
        </is>
      </c>
      <c r="H299" s="5" t="inlineStr">
        <is>
          <t>ask_query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7.88</v>
      </c>
    </row>
    <row r="300">
      <c r="A300" s="5" t="inlineStr">
        <is>
          <t>ask_query_001</t>
        </is>
      </c>
      <c r="B300" s="5" t="n">
        <v>3</v>
      </c>
      <c r="C300" s="5" t="inlineStr">
        <is>
          <t>ask_query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ask_query</t>
        </is>
      </c>
      <c r="H300" s="5" t="inlineStr">
        <is>
          <t>ask_query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9.029999999999999</v>
      </c>
    </row>
    <row r="301">
      <c r="A301" s="5" t="inlineStr">
        <is>
          <t>ask_query_001</t>
        </is>
      </c>
      <c r="B301" s="5" t="n">
        <v>3</v>
      </c>
      <c r="C301" s="5" t="inlineStr">
        <is>
          <t>ask_query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ask_query</t>
        </is>
      </c>
      <c r="H301" s="5" t="inlineStr">
        <is>
          <t>ask_query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4.88</v>
      </c>
    </row>
    <row r="302">
      <c r="A302" s="5" t="inlineStr">
        <is>
          <t>ask_query_002</t>
        </is>
      </c>
      <c r="B302" s="5" t="n">
        <v>3</v>
      </c>
      <c r="C302" s="5" t="inlineStr">
        <is>
          <t>ask_query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ask_query</t>
        </is>
      </c>
      <c r="H302" s="5" t="inlineStr">
        <is>
          <t>ask_query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>
        <v>1</v>
      </c>
      <c r="N302" s="5" t="n">
        <v>1</v>
      </c>
      <c r="O302" s="5" t="n">
        <v>7.84</v>
      </c>
    </row>
    <row r="303">
      <c r="A303" s="5" t="inlineStr">
        <is>
          <t>ask_query_002</t>
        </is>
      </c>
      <c r="B303" s="5" t="n">
        <v>3</v>
      </c>
      <c r="C303" s="5" t="inlineStr">
        <is>
          <t>ask_query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ask_query</t>
        </is>
      </c>
      <c r="H303" s="5" t="inlineStr">
        <is>
          <t>ask_query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8.630000000000001</v>
      </c>
    </row>
    <row r="304">
      <c r="A304" s="5" t="inlineStr">
        <is>
          <t>ask_query_002</t>
        </is>
      </c>
      <c r="B304" s="5" t="n">
        <v>3</v>
      </c>
      <c r="C304" s="5" t="inlineStr">
        <is>
          <t>ask_query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ask_query</t>
        </is>
      </c>
      <c r="H304" s="5" t="inlineStr">
        <is>
          <t>ask_query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4.89</v>
      </c>
    </row>
    <row r="305">
      <c r="A305" s="5" t="inlineStr">
        <is>
          <t>ask_query_003</t>
        </is>
      </c>
      <c r="B305" s="5" t="n">
        <v>3</v>
      </c>
      <c r="C305" s="5" t="inlineStr">
        <is>
          <t>ask_query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ask_query</t>
        </is>
      </c>
      <c r="H305" s="5" t="inlineStr">
        <is>
          <t>out_of_scope</t>
        </is>
      </c>
      <c r="I305" s="5" t="b">
        <v>0</v>
      </c>
      <c r="J305" s="5" t="b">
        <v>0</v>
      </c>
      <c r="K305" s="5" t="inlineStr">
        <is>
          <t>success</t>
        </is>
      </c>
      <c r="L305" s="5" t="n"/>
      <c r="M305" s="5" t="n"/>
      <c r="N305" s="5" t="n"/>
      <c r="O305" s="5" t="n">
        <v>7.84</v>
      </c>
    </row>
    <row r="306">
      <c r="A306" s="5" t="inlineStr">
        <is>
          <t>ask_query_003</t>
        </is>
      </c>
      <c r="B306" s="5" t="n">
        <v>3</v>
      </c>
      <c r="C306" s="5" t="inlineStr">
        <is>
          <t>ask_query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ask_query</t>
        </is>
      </c>
      <c r="H306" s="5" t="inlineStr">
        <is>
          <t>out_of_scope</t>
        </is>
      </c>
      <c r="I306" s="5" t="b">
        <v>0</v>
      </c>
      <c r="J306" s="5" t="b">
        <v>0</v>
      </c>
      <c r="K306" s="5" t="inlineStr">
        <is>
          <t>success</t>
        </is>
      </c>
      <c r="L306" s="5" t="n"/>
      <c r="M306" s="5" t="n"/>
      <c r="N306" s="5" t="n"/>
      <c r="O306" s="5" t="n">
        <v>7.72</v>
      </c>
    </row>
    <row r="307">
      <c r="A307" s="5" t="inlineStr">
        <is>
          <t>ask_query_003</t>
        </is>
      </c>
      <c r="B307" s="5" t="n">
        <v>3</v>
      </c>
      <c r="C307" s="5" t="inlineStr">
        <is>
          <t>ask_query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ask_query</t>
        </is>
      </c>
      <c r="H307" s="5" t="inlineStr">
        <is>
          <t>ask_query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4.4</v>
      </c>
    </row>
    <row r="308">
      <c r="A308" s="5" t="inlineStr">
        <is>
          <t>ask_query_004</t>
        </is>
      </c>
      <c r="B308" s="5" t="n">
        <v>3</v>
      </c>
      <c r="C308" s="5" t="inlineStr">
        <is>
          <t>ask_query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ask_query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8.32</v>
      </c>
    </row>
    <row r="309">
      <c r="A309" s="5" t="inlineStr">
        <is>
          <t>ask_query_004</t>
        </is>
      </c>
      <c r="B309" s="5" t="n">
        <v>3</v>
      </c>
      <c r="C309" s="5" t="inlineStr">
        <is>
          <t>ask_query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ask_query</t>
        </is>
      </c>
      <c r="H309" s="5" t="inlineStr">
        <is>
          <t>ask_query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9.65</v>
      </c>
    </row>
    <row r="310">
      <c r="A310" s="5" t="inlineStr">
        <is>
          <t>ask_query_004</t>
        </is>
      </c>
      <c r="B310" s="5" t="n">
        <v>3</v>
      </c>
      <c r="C310" s="5" t="inlineStr">
        <is>
          <t>ask_query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ask_query</t>
        </is>
      </c>
      <c r="H310" s="5" t="inlineStr">
        <is>
          <t>ask_query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5.7</v>
      </c>
    </row>
    <row r="311">
      <c r="A311" s="5" t="inlineStr">
        <is>
          <t>typo_fuzzy_001</t>
        </is>
      </c>
      <c r="B311" s="5" t="n">
        <v>3</v>
      </c>
      <c r="C311" s="5" t="inlineStr">
        <is>
          <t>typo_fuzzy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>
        <v>1</v>
      </c>
      <c r="N311" s="5" t="n">
        <v>1</v>
      </c>
      <c r="O311" s="5" t="n">
        <v>18.97</v>
      </c>
    </row>
    <row r="312">
      <c r="A312" s="5" t="inlineStr">
        <is>
          <t>typo_fuzzy_001</t>
        </is>
      </c>
      <c r="B312" s="5" t="n">
        <v>3</v>
      </c>
      <c r="C312" s="5" t="inlineStr">
        <is>
          <t>typo_fuzzy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20.08</v>
      </c>
    </row>
    <row r="313">
      <c r="A313" s="5" t="inlineStr">
        <is>
          <t>typo_fuzzy_001</t>
        </is>
      </c>
      <c r="B313" s="5" t="n">
        <v>3</v>
      </c>
      <c r="C313" s="5" t="inlineStr">
        <is>
          <t>typo_fuzzy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18.98</v>
      </c>
    </row>
    <row r="314">
      <c r="A314" s="5" t="inlineStr">
        <is>
          <t>typo_fuzzy_002</t>
        </is>
      </c>
      <c r="B314" s="5" t="n">
        <v>3</v>
      </c>
      <c r="C314" s="5" t="inlineStr">
        <is>
          <t>typo_fuzzy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single_kg1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>
        <v>1</v>
      </c>
      <c r="N314" s="5" t="n">
        <v>1</v>
      </c>
      <c r="O314" s="5" t="n">
        <v>26.91</v>
      </c>
    </row>
    <row r="315">
      <c r="A315" s="5" t="inlineStr">
        <is>
          <t>typo_fuzzy_002</t>
        </is>
      </c>
      <c r="B315" s="5" t="n">
        <v>3</v>
      </c>
      <c r="C315" s="5" t="inlineStr">
        <is>
          <t>typo_fuzzy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single_kg1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>
        <v>1</v>
      </c>
      <c r="N315" s="5" t="n">
        <v>1</v>
      </c>
      <c r="O315" s="5" t="n">
        <v>21.43</v>
      </c>
    </row>
    <row r="316">
      <c r="A316" s="5" t="inlineStr">
        <is>
          <t>typo_fuzzy_002</t>
        </is>
      </c>
      <c r="B316" s="5" t="n">
        <v>3</v>
      </c>
      <c r="C316" s="5" t="inlineStr">
        <is>
          <t>typo_fuzzy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single_kg1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>
        <v>1</v>
      </c>
      <c r="N316" s="5" t="n">
        <v>1</v>
      </c>
      <c r="O316" s="5" t="n">
        <v>21.74</v>
      </c>
    </row>
    <row r="317">
      <c r="A317" s="5" t="inlineStr">
        <is>
          <t>typo_fuzzy_003</t>
        </is>
      </c>
      <c r="B317" s="5" t="n">
        <v>3</v>
      </c>
      <c r="C317" s="5" t="inlineStr">
        <is>
          <t>typo_fuzzy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single_kg2</t>
        </is>
      </c>
      <c r="I317" s="5" t="b">
        <v>1</v>
      </c>
      <c r="J317" s="5" t="b">
        <v>1</v>
      </c>
      <c r="K317" s="5" t="inlineStr">
        <is>
          <t>success</t>
        </is>
      </c>
      <c r="L317" s="5" t="n"/>
      <c r="M317" s="5" t="n">
        <v>1</v>
      </c>
      <c r="N317" s="5" t="n">
        <v>1</v>
      </c>
      <c r="O317" s="5" t="n">
        <v>24.18</v>
      </c>
    </row>
    <row r="318">
      <c r="A318" s="5" t="inlineStr">
        <is>
          <t>typo_fuzzy_003</t>
        </is>
      </c>
      <c r="B318" s="5" t="n">
        <v>3</v>
      </c>
      <c r="C318" s="5" t="inlineStr">
        <is>
          <t>typo_fuzzy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single_kg2</t>
        </is>
      </c>
      <c r="I318" s="5" t="b">
        <v>1</v>
      </c>
      <c r="J318" s="5" t="b">
        <v>1</v>
      </c>
      <c r="K318" s="5" t="inlineStr">
        <is>
          <t>success</t>
        </is>
      </c>
      <c r="L318" s="5" t="n"/>
      <c r="M318" s="5" t="n">
        <v>1</v>
      </c>
      <c r="N318" s="5" t="n">
        <v>1</v>
      </c>
      <c r="O318" s="5" t="n">
        <v>26.13</v>
      </c>
    </row>
    <row r="319">
      <c r="A319" s="5" t="inlineStr">
        <is>
          <t>typo_fuzzy_003</t>
        </is>
      </c>
      <c r="B319" s="5" t="n">
        <v>3</v>
      </c>
      <c r="C319" s="5" t="inlineStr">
        <is>
          <t>typo_fuzzy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single_kg2</t>
        </is>
      </c>
      <c r="I319" s="5" t="b">
        <v>1</v>
      </c>
      <c r="J319" s="5" t="b">
        <v>1</v>
      </c>
      <c r="K319" s="5" t="inlineStr">
        <is>
          <t>success</t>
        </is>
      </c>
      <c r="L319" s="5" t="n"/>
      <c r="M319" s="5" t="n">
        <v>1</v>
      </c>
      <c r="N319" s="5" t="n">
        <v>1</v>
      </c>
      <c r="O319" s="5" t="n">
        <v>25.17</v>
      </c>
    </row>
    <row r="320">
      <c r="A320" s="5" t="inlineStr">
        <is>
          <t>multilingual_edge_001</t>
        </is>
      </c>
      <c r="B320" s="5" t="n">
        <v>3</v>
      </c>
      <c r="C320" s="5" t="inlineStr">
        <is>
          <t>multilingual_edge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single_kg2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>
        <v>1</v>
      </c>
      <c r="N320" s="5" t="n">
        <v>1</v>
      </c>
      <c r="O320" s="5" t="n">
        <v>18.74</v>
      </c>
    </row>
    <row r="321">
      <c r="A321" s="5" t="inlineStr">
        <is>
          <t>multilingual_edge_001</t>
        </is>
      </c>
      <c r="B321" s="5" t="n">
        <v>3</v>
      </c>
      <c r="C321" s="5" t="inlineStr">
        <is>
          <t>multilingual_edge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single_kg2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>
        <v>1</v>
      </c>
      <c r="N321" s="5" t="n">
        <v>1</v>
      </c>
      <c r="O321" s="5" t="n">
        <v>22.92</v>
      </c>
    </row>
    <row r="322">
      <c r="A322" s="5" t="inlineStr">
        <is>
          <t>multilingual_edge_001</t>
        </is>
      </c>
      <c r="B322" s="5" t="n">
        <v>3</v>
      </c>
      <c r="C322" s="5" t="inlineStr">
        <is>
          <t>multilingual_edge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single_kg2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>
        <v>1</v>
      </c>
      <c r="N322" s="5" t="n">
        <v>1</v>
      </c>
      <c r="O322" s="5" t="n">
        <v>19.69</v>
      </c>
    </row>
    <row r="323">
      <c r="A323" s="5" t="inlineStr">
        <is>
          <t>multilingual_edge_002</t>
        </is>
      </c>
      <c r="B323" s="5" t="n">
        <v>3</v>
      </c>
      <c r="C323" s="5" t="inlineStr">
        <is>
          <t>multilingual_edge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single_kg2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21.4</v>
      </c>
    </row>
    <row r="324">
      <c r="A324" s="5" t="inlineStr">
        <is>
          <t>multilingual_edge_002</t>
        </is>
      </c>
      <c r="B324" s="5" t="n">
        <v>3</v>
      </c>
      <c r="C324" s="5" t="inlineStr">
        <is>
          <t>multilingual_edge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single_kg2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23.16</v>
      </c>
    </row>
    <row r="325">
      <c r="A325" s="5" t="inlineStr">
        <is>
          <t>multilingual_edge_002</t>
        </is>
      </c>
      <c r="B325" s="5" t="n">
        <v>3</v>
      </c>
      <c r="C325" s="5" t="inlineStr">
        <is>
          <t>multilingual_edge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single_kg2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20.06</v>
      </c>
    </row>
    <row r="326">
      <c r="A326" s="5" t="inlineStr">
        <is>
          <t>multilingual_edge_003</t>
        </is>
      </c>
      <c r="B326" s="5" t="n">
        <v>3</v>
      </c>
      <c r="C326" s="5" t="inlineStr">
        <is>
          <t>multilingual_edge</t>
        </is>
      </c>
      <c r="D326" s="5" t="inlineStr">
        <is>
          <t>mixed</t>
        </is>
      </c>
      <c r="E326" s="5" t="inlineStr">
        <is>
          <t>en</t>
        </is>
      </c>
      <c r="F326" s="5" t="inlineStr">
        <is>
          <t>zero-shot</t>
        </is>
      </c>
      <c r="G326" s="5" t="inlineStr">
        <is>
          <t>VARIES</t>
        </is>
      </c>
      <c r="H326" s="5" t="inlineStr">
        <is>
          <t>ask_query</t>
        </is>
      </c>
      <c r="I326" s="5" t="b">
        <v>1</v>
      </c>
      <c r="J326" s="5" t="b">
        <v>1</v>
      </c>
      <c r="K326" s="5" t="inlineStr">
        <is>
          <t>success</t>
        </is>
      </c>
      <c r="L326" s="5" t="n"/>
      <c r="M326" s="5" t="n">
        <v>1</v>
      </c>
      <c r="N326" s="5" t="n">
        <v>1</v>
      </c>
      <c r="O326" s="5" t="n">
        <v>8.15</v>
      </c>
    </row>
    <row r="327">
      <c r="A327" s="5" t="inlineStr">
        <is>
          <t>multilingual_edge_003</t>
        </is>
      </c>
      <c r="B327" s="5" t="n">
        <v>3</v>
      </c>
      <c r="C327" s="5" t="inlineStr">
        <is>
          <t>multilingual_edge</t>
        </is>
      </c>
      <c r="D327" s="5" t="inlineStr">
        <is>
          <t>mixed</t>
        </is>
      </c>
      <c r="E327" s="5" t="inlineStr">
        <is>
          <t>fr</t>
        </is>
      </c>
      <c r="F327" s="5" t="inlineStr">
        <is>
          <t>zero-shot</t>
        </is>
      </c>
      <c r="G327" s="5" t="inlineStr">
        <is>
          <t>VARIES</t>
        </is>
      </c>
      <c r="H327" s="5" t="inlineStr">
        <is>
          <t>ask_query</t>
        </is>
      </c>
      <c r="I327" s="5" t="b">
        <v>1</v>
      </c>
      <c r="J327" s="5" t="b">
        <v>1</v>
      </c>
      <c r="K327" s="5" t="inlineStr">
        <is>
          <t>success</t>
        </is>
      </c>
      <c r="L327" s="5" t="n"/>
      <c r="M327" s="5" t="n">
        <v>1</v>
      </c>
      <c r="N327" s="5" t="n">
        <v>1</v>
      </c>
      <c r="O327" s="5" t="n">
        <v>9.51</v>
      </c>
    </row>
    <row r="328">
      <c r="A328" s="5" t="inlineStr">
        <is>
          <t>multilingual_edge_003</t>
        </is>
      </c>
      <c r="B328" s="5" t="n">
        <v>3</v>
      </c>
      <c r="C328" s="5" t="inlineStr">
        <is>
          <t>multilingual_edge</t>
        </is>
      </c>
      <c r="D328" s="5" t="inlineStr">
        <is>
          <t>mixed</t>
        </is>
      </c>
      <c r="E328" s="5" t="inlineStr">
        <is>
          <t>ar</t>
        </is>
      </c>
      <c r="F328" s="5" t="inlineStr">
        <is>
          <t>zero-shot</t>
        </is>
      </c>
      <c r="G328" s="5" t="inlineStr">
        <is>
          <t>VARIES</t>
        </is>
      </c>
      <c r="H328" s="5" t="inlineStr">
        <is>
          <t>ask_query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5.77</v>
      </c>
    </row>
    <row r="329">
      <c r="A329" s="5" t="inlineStr">
        <is>
          <t>multilingual_edge_004</t>
        </is>
      </c>
      <c r="B329" s="5" t="n">
        <v>3</v>
      </c>
      <c r="C329" s="5" t="inlineStr">
        <is>
          <t>multilingual_edge</t>
        </is>
      </c>
      <c r="D329" s="5" t="inlineStr">
        <is>
          <t>mixed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VARIES</t>
        </is>
      </c>
      <c r="H329" s="5" t="inlineStr">
        <is>
          <t>single_kg2</t>
        </is>
      </c>
      <c r="I329" s="5" t="b">
        <v>1</v>
      </c>
      <c r="J329" s="5" t="b">
        <v>1</v>
      </c>
      <c r="K329" s="5" t="inlineStr">
        <is>
          <t>success</t>
        </is>
      </c>
      <c r="L329" s="5" t="n"/>
      <c r="M329" s="5" t="n">
        <v>1</v>
      </c>
      <c r="N329" s="5" t="n">
        <v>1</v>
      </c>
      <c r="O329" s="5" t="n">
        <v>19.77</v>
      </c>
    </row>
    <row r="330">
      <c r="A330" s="5" t="inlineStr">
        <is>
          <t>multilingual_edge_004</t>
        </is>
      </c>
      <c r="B330" s="5" t="n">
        <v>3</v>
      </c>
      <c r="C330" s="5" t="inlineStr">
        <is>
          <t>multilingual_edge</t>
        </is>
      </c>
      <c r="D330" s="5" t="inlineStr">
        <is>
          <t>mixed</t>
        </is>
      </c>
      <c r="E330" s="5" t="inlineStr">
        <is>
          <t>fr</t>
        </is>
      </c>
      <c r="F330" s="5" t="inlineStr">
        <is>
          <t>zero-shot</t>
        </is>
      </c>
      <c r="G330" s="5" t="inlineStr">
        <is>
          <t>VARIES</t>
        </is>
      </c>
      <c r="H330" s="5" t="inlineStr">
        <is>
          <t>single_kg2</t>
        </is>
      </c>
      <c r="I330" s="5" t="b">
        <v>1</v>
      </c>
      <c r="J330" s="5" t="b">
        <v>1</v>
      </c>
      <c r="K330" s="5" t="inlineStr">
        <is>
          <t>success</t>
        </is>
      </c>
      <c r="L330" s="5" t="n"/>
      <c r="M330" s="5" t="n">
        <v>1</v>
      </c>
      <c r="N330" s="5" t="n">
        <v>1</v>
      </c>
      <c r="O330" s="5" t="n">
        <v>21.74</v>
      </c>
    </row>
    <row r="331">
      <c r="A331" s="5" t="inlineStr">
        <is>
          <t>multilingual_edge_004</t>
        </is>
      </c>
      <c r="B331" s="5" t="n">
        <v>3</v>
      </c>
      <c r="C331" s="5" t="inlineStr">
        <is>
          <t>multilingual_edge</t>
        </is>
      </c>
      <c r="D331" s="5" t="inlineStr">
        <is>
          <t>mixed</t>
        </is>
      </c>
      <c r="E331" s="5" t="inlineStr">
        <is>
          <t>ar</t>
        </is>
      </c>
      <c r="F331" s="5" t="inlineStr">
        <is>
          <t>zero-shot</t>
        </is>
      </c>
      <c r="G331" s="5" t="inlineStr">
        <is>
          <t>VARIES</t>
        </is>
      </c>
      <c r="H331" s="5" t="inlineStr">
        <is>
          <t>single_kg2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19.59</v>
      </c>
    </row>
    <row r="332">
      <c r="A332" s="5" t="inlineStr">
        <is>
          <t>property_ambiguity_001</t>
        </is>
      </c>
      <c r="B332" s="5" t="n">
        <v>3</v>
      </c>
      <c r="C332" s="5" t="inlineStr">
        <is>
          <t>property_ambiguity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VARIES</t>
        </is>
      </c>
      <c r="H332" s="5" t="inlineStr">
        <is>
          <t>single_kg3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14.28</v>
      </c>
    </row>
    <row r="333">
      <c r="A333" s="5" t="inlineStr">
        <is>
          <t>property_ambiguity_001</t>
        </is>
      </c>
      <c r="B333" s="5" t="n">
        <v>3</v>
      </c>
      <c r="C333" s="5" t="inlineStr">
        <is>
          <t>property_ambiguity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VARIES</t>
        </is>
      </c>
      <c r="H333" s="5" t="inlineStr">
        <is>
          <t>single_kg3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14.5</v>
      </c>
    </row>
    <row r="334">
      <c r="A334" s="5" t="inlineStr">
        <is>
          <t>property_ambiguity_001</t>
        </is>
      </c>
      <c r="B334" s="5" t="n">
        <v>3</v>
      </c>
      <c r="C334" s="5" t="inlineStr">
        <is>
          <t>property_ambiguity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VARIES</t>
        </is>
      </c>
      <c r="H334" s="5" t="inlineStr">
        <is>
          <t>single_kg3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14.28</v>
      </c>
    </row>
    <row r="335">
      <c r="A335" s="5" t="inlineStr">
        <is>
          <t>property_ambiguity_002</t>
        </is>
      </c>
      <c r="B335" s="5" t="n">
        <v>3</v>
      </c>
      <c r="C335" s="5" t="inlineStr">
        <is>
          <t>property_ambiguity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VARIES</t>
        </is>
      </c>
      <c r="H335" s="5" t="inlineStr">
        <is>
          <t>single_kg3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13.08</v>
      </c>
    </row>
    <row r="336">
      <c r="A336" s="5" t="inlineStr">
        <is>
          <t>property_ambiguity_002</t>
        </is>
      </c>
      <c r="B336" s="5" t="n">
        <v>3</v>
      </c>
      <c r="C336" s="5" t="inlineStr">
        <is>
          <t>property_ambiguity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VARIES</t>
        </is>
      </c>
      <c r="H336" s="5" t="inlineStr">
        <is>
          <t>single_kg3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13.65</v>
      </c>
    </row>
    <row r="337">
      <c r="A337" s="5" t="inlineStr">
        <is>
          <t>property_ambiguity_002</t>
        </is>
      </c>
      <c r="B337" s="5" t="n">
        <v>3</v>
      </c>
      <c r="C337" s="5" t="inlineStr">
        <is>
          <t>property_ambiguity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VARIES</t>
        </is>
      </c>
      <c r="H337" s="5" t="inlineStr">
        <is>
          <t>single_kg3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13.39</v>
      </c>
    </row>
    <row r="338">
      <c r="A338" s="5" t="inlineStr">
        <is>
          <t>property_ambiguity_003</t>
        </is>
      </c>
      <c r="B338" s="5" t="n">
        <v>3</v>
      </c>
      <c r="C338" s="5" t="inlineStr">
        <is>
          <t>property_ambiguity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VARIES</t>
        </is>
      </c>
      <c r="H338" s="5" t="inlineStr">
        <is>
          <t>single_kg3</t>
        </is>
      </c>
      <c r="I338" s="5" t="b">
        <v>1</v>
      </c>
      <c r="J338" s="5" t="b">
        <v>1</v>
      </c>
      <c r="K338" s="5" t="inlineStr">
        <is>
          <t>success</t>
        </is>
      </c>
      <c r="L338" s="5" t="n"/>
      <c r="M338" s="5" t="n">
        <v>1</v>
      </c>
      <c r="N338" s="5" t="n">
        <v>1</v>
      </c>
      <c r="O338" s="5" t="n">
        <v>12.55</v>
      </c>
    </row>
    <row r="339">
      <c r="A339" s="5" t="inlineStr">
        <is>
          <t>property_ambiguity_003</t>
        </is>
      </c>
      <c r="B339" s="5" t="n">
        <v>3</v>
      </c>
      <c r="C339" s="5" t="inlineStr">
        <is>
          <t>property_ambiguity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VARIES</t>
        </is>
      </c>
      <c r="H339" s="5" t="inlineStr">
        <is>
          <t>single_kg3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12.91</v>
      </c>
    </row>
    <row r="340">
      <c r="A340" s="5" t="inlineStr">
        <is>
          <t>property_ambiguity_003</t>
        </is>
      </c>
      <c r="B340" s="5" t="n">
        <v>3</v>
      </c>
      <c r="C340" s="5" t="inlineStr">
        <is>
          <t>property_ambiguity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VARIES</t>
        </is>
      </c>
      <c r="H340" s="5" t="inlineStr">
        <is>
          <t>template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0</v>
      </c>
      <c r="N340" s="5" t="n">
        <v>0</v>
      </c>
      <c r="O340" s="5" t="n">
        <v>8.07</v>
      </c>
    </row>
    <row r="341">
      <c r="A341" s="5" t="inlineStr">
        <is>
          <t>single_kg3_003</t>
        </is>
      </c>
      <c r="B341" s="5" t="n">
        <v>1</v>
      </c>
      <c r="C341" s="5" t="inlineStr">
        <is>
          <t>single_kg3</t>
        </is>
      </c>
      <c r="D341" s="5" t="inlineStr">
        <is>
          <t>university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single_kg3</t>
        </is>
      </c>
      <c r="H341" s="5" t="inlineStr">
        <is>
          <t>single_kg3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25.38</v>
      </c>
    </row>
    <row r="342">
      <c r="A342" s="5" t="inlineStr">
        <is>
          <t>single_kg3_003</t>
        </is>
      </c>
      <c r="B342" s="5" t="n">
        <v>1</v>
      </c>
      <c r="C342" s="5" t="inlineStr">
        <is>
          <t>single_kg3</t>
        </is>
      </c>
      <c r="D342" s="5" t="inlineStr">
        <is>
          <t>university</t>
        </is>
      </c>
      <c r="E342" s="5" t="inlineStr">
        <is>
          <t>en</t>
        </is>
      </c>
      <c r="F342" s="5" t="inlineStr">
        <is>
          <t>few-shot</t>
        </is>
      </c>
      <c r="G342" s="5" t="inlineStr">
        <is>
          <t>single_kg3</t>
        </is>
      </c>
      <c r="H342" s="5" t="inlineStr">
        <is>
          <t>single_kg3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11.89</v>
      </c>
    </row>
    <row r="343">
      <c r="A343" s="5" t="inlineStr">
        <is>
          <t>single_kg3_003</t>
        </is>
      </c>
      <c r="B343" s="5" t="n">
        <v>1</v>
      </c>
      <c r="C343" s="5" t="inlineStr">
        <is>
          <t>single_kg3</t>
        </is>
      </c>
      <c r="D343" s="5" t="inlineStr">
        <is>
          <t>university</t>
        </is>
      </c>
      <c r="E343" s="5" t="inlineStr">
        <is>
          <t>en</t>
        </is>
      </c>
      <c r="F343" s="5" t="inlineStr">
        <is>
          <t>cot</t>
        </is>
      </c>
      <c r="G343" s="5" t="inlineStr">
        <is>
          <t>single_kg3</t>
        </is>
      </c>
      <c r="H343" s="5" t="inlineStr">
        <is>
          <t>single_kg3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12.01</v>
      </c>
    </row>
    <row r="344">
      <c r="A344" s="5" t="inlineStr">
        <is>
          <t>single_kg3_003</t>
        </is>
      </c>
      <c r="B344" s="5" t="n">
        <v>1</v>
      </c>
      <c r="C344" s="5" t="inlineStr">
        <is>
          <t>single_kg3</t>
        </is>
      </c>
      <c r="D344" s="5" t="inlineStr">
        <is>
          <t>university</t>
        </is>
      </c>
      <c r="E344" s="5" t="inlineStr">
        <is>
          <t>fr</t>
        </is>
      </c>
      <c r="F344" s="5" t="inlineStr">
        <is>
          <t>zero-shot</t>
        </is>
      </c>
      <c r="G344" s="5" t="inlineStr">
        <is>
          <t>single_kg3</t>
        </is>
      </c>
      <c r="H344" s="5" t="inlineStr">
        <is>
          <t>single_kg3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23.24</v>
      </c>
    </row>
    <row r="345">
      <c r="A345" s="5" t="inlineStr">
        <is>
          <t>single_kg3_003</t>
        </is>
      </c>
      <c r="B345" s="5" t="n">
        <v>1</v>
      </c>
      <c r="C345" s="5" t="inlineStr">
        <is>
          <t>single_kg3</t>
        </is>
      </c>
      <c r="D345" s="5" t="inlineStr">
        <is>
          <t>university</t>
        </is>
      </c>
      <c r="E345" s="5" t="inlineStr">
        <is>
          <t>fr</t>
        </is>
      </c>
      <c r="F345" s="5" t="inlineStr">
        <is>
          <t>few-shot</t>
        </is>
      </c>
      <c r="G345" s="5" t="inlineStr">
        <is>
          <t>single_kg3</t>
        </is>
      </c>
      <c r="H345" s="5" t="inlineStr">
        <is>
          <t>single_kg3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13.68</v>
      </c>
    </row>
    <row r="346">
      <c r="A346" s="5" t="inlineStr">
        <is>
          <t>single_kg3_003</t>
        </is>
      </c>
      <c r="B346" s="5" t="n">
        <v>1</v>
      </c>
      <c r="C346" s="5" t="inlineStr">
        <is>
          <t>single_kg3</t>
        </is>
      </c>
      <c r="D346" s="5" t="inlineStr">
        <is>
          <t>university</t>
        </is>
      </c>
      <c r="E346" s="5" t="inlineStr">
        <is>
          <t>fr</t>
        </is>
      </c>
      <c r="F346" s="5" t="inlineStr">
        <is>
          <t>cot</t>
        </is>
      </c>
      <c r="G346" s="5" t="inlineStr">
        <is>
          <t>single_kg3</t>
        </is>
      </c>
      <c r="H346" s="5" t="inlineStr">
        <is>
          <t>single_kg3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13.36</v>
      </c>
    </row>
    <row r="347">
      <c r="A347" s="5" t="inlineStr">
        <is>
          <t>single_kg3_003</t>
        </is>
      </c>
      <c r="B347" s="5" t="n">
        <v>1</v>
      </c>
      <c r="C347" s="5" t="inlineStr">
        <is>
          <t>single_kg3</t>
        </is>
      </c>
      <c r="D347" s="5" t="inlineStr">
        <is>
          <t>university</t>
        </is>
      </c>
      <c r="E347" s="5" t="inlineStr">
        <is>
          <t>ar</t>
        </is>
      </c>
      <c r="F347" s="5" t="inlineStr">
        <is>
          <t>zero-shot</t>
        </is>
      </c>
      <c r="G347" s="5" t="inlineStr">
        <is>
          <t>single_kg3</t>
        </is>
      </c>
      <c r="H347" s="5" t="inlineStr">
        <is>
          <t>single_kg3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14.27</v>
      </c>
    </row>
    <row r="348">
      <c r="A348" s="5" t="inlineStr">
        <is>
          <t>single_kg3_003</t>
        </is>
      </c>
      <c r="B348" s="5" t="n">
        <v>1</v>
      </c>
      <c r="C348" s="5" t="inlineStr">
        <is>
          <t>single_kg3</t>
        </is>
      </c>
      <c r="D348" s="5" t="inlineStr">
        <is>
          <t>university</t>
        </is>
      </c>
      <c r="E348" s="5" t="inlineStr">
        <is>
          <t>ar</t>
        </is>
      </c>
      <c r="F348" s="5" t="inlineStr">
        <is>
          <t>few-shot</t>
        </is>
      </c>
      <c r="G348" s="5" t="inlineStr">
        <is>
          <t>single_kg3</t>
        </is>
      </c>
      <c r="H348" s="5" t="inlineStr">
        <is>
          <t>single_kg3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14.03</v>
      </c>
    </row>
    <row r="349">
      <c r="A349" s="5" t="inlineStr">
        <is>
          <t>single_kg3_003</t>
        </is>
      </c>
      <c r="B349" s="5" t="n">
        <v>1</v>
      </c>
      <c r="C349" s="5" t="inlineStr">
        <is>
          <t>single_kg3</t>
        </is>
      </c>
      <c r="D349" s="5" t="inlineStr">
        <is>
          <t>university</t>
        </is>
      </c>
      <c r="E349" s="5" t="inlineStr">
        <is>
          <t>ar</t>
        </is>
      </c>
      <c r="F349" s="5" t="inlineStr">
        <is>
          <t>cot</t>
        </is>
      </c>
      <c r="G349" s="5" t="inlineStr">
        <is>
          <t>single_kg3</t>
        </is>
      </c>
      <c r="H349" s="5" t="inlineStr">
        <is>
          <t>single_kg3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13.93</v>
      </c>
    </row>
    <row r="350">
      <c r="A350" s="5" t="inlineStr">
        <is>
          <t>single_kg3_004</t>
        </is>
      </c>
      <c r="B350" s="5" t="n">
        <v>1</v>
      </c>
      <c r="C350" s="5" t="inlineStr">
        <is>
          <t>single_kg3</t>
        </is>
      </c>
      <c r="D350" s="5" t="inlineStr">
        <is>
          <t>university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single_kg3</t>
        </is>
      </c>
      <c r="H350" s="5" t="inlineStr">
        <is>
          <t>single_kg3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12.68</v>
      </c>
    </row>
    <row r="351">
      <c r="A351" s="5" t="inlineStr">
        <is>
          <t>single_kg3_004</t>
        </is>
      </c>
      <c r="B351" s="5" t="n">
        <v>1</v>
      </c>
      <c r="C351" s="5" t="inlineStr">
        <is>
          <t>single_kg3</t>
        </is>
      </c>
      <c r="D351" s="5" t="inlineStr">
        <is>
          <t>university</t>
        </is>
      </c>
      <c r="E351" s="5" t="inlineStr">
        <is>
          <t>en</t>
        </is>
      </c>
      <c r="F351" s="5" t="inlineStr">
        <is>
          <t>few-shot</t>
        </is>
      </c>
      <c r="G351" s="5" t="inlineStr">
        <is>
          <t>single_kg3</t>
        </is>
      </c>
      <c r="H351" s="5" t="inlineStr">
        <is>
          <t>single_kg3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11.98</v>
      </c>
    </row>
    <row r="352">
      <c r="A352" s="5" t="inlineStr">
        <is>
          <t>single_kg3_004</t>
        </is>
      </c>
      <c r="B352" s="5" t="n">
        <v>1</v>
      </c>
      <c r="C352" s="5" t="inlineStr">
        <is>
          <t>single_kg3</t>
        </is>
      </c>
      <c r="D352" s="5" t="inlineStr">
        <is>
          <t>university</t>
        </is>
      </c>
      <c r="E352" s="5" t="inlineStr">
        <is>
          <t>en</t>
        </is>
      </c>
      <c r="F352" s="5" t="inlineStr">
        <is>
          <t>cot</t>
        </is>
      </c>
      <c r="G352" s="5" t="inlineStr">
        <is>
          <t>single_kg3</t>
        </is>
      </c>
      <c r="H352" s="5" t="inlineStr">
        <is>
          <t>single_kg3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12.16</v>
      </c>
    </row>
    <row r="353">
      <c r="A353" s="5" t="inlineStr">
        <is>
          <t>single_kg3_004</t>
        </is>
      </c>
      <c r="B353" s="5" t="n">
        <v>1</v>
      </c>
      <c r="C353" s="5" t="inlineStr">
        <is>
          <t>single_kg3</t>
        </is>
      </c>
      <c r="D353" s="5" t="inlineStr">
        <is>
          <t>university</t>
        </is>
      </c>
      <c r="E353" s="5" t="inlineStr">
        <is>
          <t>fr</t>
        </is>
      </c>
      <c r="F353" s="5" t="inlineStr">
        <is>
          <t>zero-shot</t>
        </is>
      </c>
      <c r="G353" s="5" t="inlineStr">
        <is>
          <t>single_kg3</t>
        </is>
      </c>
      <c r="H353" s="5" t="inlineStr">
        <is>
          <t>single_kg3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14.78</v>
      </c>
    </row>
    <row r="354">
      <c r="A354" s="5" t="inlineStr">
        <is>
          <t>single_kg3_004</t>
        </is>
      </c>
      <c r="B354" s="5" t="n">
        <v>1</v>
      </c>
      <c r="C354" s="5" t="inlineStr">
        <is>
          <t>single_kg3</t>
        </is>
      </c>
      <c r="D354" s="5" t="inlineStr">
        <is>
          <t>university</t>
        </is>
      </c>
      <c r="E354" s="5" t="inlineStr">
        <is>
          <t>fr</t>
        </is>
      </c>
      <c r="F354" s="5" t="inlineStr">
        <is>
          <t>few-shot</t>
        </is>
      </c>
      <c r="G354" s="5" t="inlineStr">
        <is>
          <t>single_kg3</t>
        </is>
      </c>
      <c r="H354" s="5" t="inlineStr">
        <is>
          <t>single_kg3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13.07</v>
      </c>
    </row>
    <row r="355">
      <c r="A355" s="5" t="inlineStr">
        <is>
          <t>single_kg3_004</t>
        </is>
      </c>
      <c r="B355" s="5" t="n">
        <v>1</v>
      </c>
      <c r="C355" s="5" t="inlineStr">
        <is>
          <t>single_kg3</t>
        </is>
      </c>
      <c r="D355" s="5" t="inlineStr">
        <is>
          <t>university</t>
        </is>
      </c>
      <c r="E355" s="5" t="inlineStr">
        <is>
          <t>fr</t>
        </is>
      </c>
      <c r="F355" s="5" t="inlineStr">
        <is>
          <t>cot</t>
        </is>
      </c>
      <c r="G355" s="5" t="inlineStr">
        <is>
          <t>single_kg3</t>
        </is>
      </c>
      <c r="H355" s="5" t="inlineStr">
        <is>
          <t>single_kg3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13.43</v>
      </c>
    </row>
    <row r="356">
      <c r="A356" s="5" t="inlineStr">
        <is>
          <t>single_kg3_004</t>
        </is>
      </c>
      <c r="B356" s="5" t="n">
        <v>1</v>
      </c>
      <c r="C356" s="5" t="inlineStr">
        <is>
          <t>single_kg3</t>
        </is>
      </c>
      <c r="D356" s="5" t="inlineStr">
        <is>
          <t>university</t>
        </is>
      </c>
      <c r="E356" s="5" t="inlineStr">
        <is>
          <t>ar</t>
        </is>
      </c>
      <c r="F356" s="5" t="inlineStr">
        <is>
          <t>zero-shot</t>
        </is>
      </c>
      <c r="G356" s="5" t="inlineStr">
        <is>
          <t>single_kg3</t>
        </is>
      </c>
      <c r="H356" s="5" t="inlineStr">
        <is>
          <t>single_kg3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14.59</v>
      </c>
    </row>
    <row r="357">
      <c r="A357" s="5" t="inlineStr">
        <is>
          <t>single_kg3_004</t>
        </is>
      </c>
      <c r="B357" s="5" t="n">
        <v>1</v>
      </c>
      <c r="C357" s="5" t="inlineStr">
        <is>
          <t>single_kg3</t>
        </is>
      </c>
      <c r="D357" s="5" t="inlineStr">
        <is>
          <t>university</t>
        </is>
      </c>
      <c r="E357" s="5" t="inlineStr">
        <is>
          <t>ar</t>
        </is>
      </c>
      <c r="F357" s="5" t="inlineStr">
        <is>
          <t>few-shot</t>
        </is>
      </c>
      <c r="G357" s="5" t="inlineStr">
        <is>
          <t>single_kg3</t>
        </is>
      </c>
      <c r="H357" s="5" t="inlineStr">
        <is>
          <t>single_kg3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13.51</v>
      </c>
    </row>
    <row r="358">
      <c r="A358" s="5" t="inlineStr">
        <is>
          <t>single_kg3_004</t>
        </is>
      </c>
      <c r="B358" s="5" t="n">
        <v>1</v>
      </c>
      <c r="C358" s="5" t="inlineStr">
        <is>
          <t>single_kg3</t>
        </is>
      </c>
      <c r="D358" s="5" t="inlineStr">
        <is>
          <t>university</t>
        </is>
      </c>
      <c r="E358" s="5" t="inlineStr">
        <is>
          <t>ar</t>
        </is>
      </c>
      <c r="F358" s="5" t="inlineStr">
        <is>
          <t>cot</t>
        </is>
      </c>
      <c r="G358" s="5" t="inlineStr">
        <is>
          <t>single_kg3</t>
        </is>
      </c>
      <c r="H358" s="5" t="inlineStr">
        <is>
          <t>single_kg3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13.76</v>
      </c>
    </row>
    <row r="359">
      <c r="A359" s="5" t="inlineStr">
        <is>
          <t>out_of_scope_002</t>
        </is>
      </c>
      <c r="B359" s="5" t="n">
        <v>3</v>
      </c>
      <c r="C359" s="5" t="inlineStr">
        <is>
          <t>out_of_scope</t>
        </is>
      </c>
      <c r="D359" s="5" t="n">
        <v/>
      </c>
      <c r="E359" s="5" t="inlineStr">
        <is>
          <t>en</t>
        </is>
      </c>
      <c r="F359" s="5" t="inlineStr">
        <is>
          <t>zero-shot</t>
        </is>
      </c>
      <c r="G359" s="5" t="inlineStr">
        <is>
          <t>out_of_scope</t>
        </is>
      </c>
      <c r="H359" s="5" t="inlineStr">
        <is>
          <t>out_of_scope</t>
        </is>
      </c>
      <c r="I359" s="5" t="b">
        <v>1</v>
      </c>
      <c r="J359" s="5" t="b">
        <v>0</v>
      </c>
      <c r="K359" s="5" t="inlineStr">
        <is>
          <t>success</t>
        </is>
      </c>
      <c r="L359" s="5" t="n"/>
      <c r="M359" s="5" t="n"/>
      <c r="N359" s="5" t="n"/>
      <c r="O359" s="5" t="n">
        <v>9.869999999999999</v>
      </c>
    </row>
    <row r="360">
      <c r="A360" s="5" t="inlineStr">
        <is>
          <t>out_of_scope_002</t>
        </is>
      </c>
      <c r="B360" s="5" t="n">
        <v>3</v>
      </c>
      <c r="C360" s="5" t="inlineStr">
        <is>
          <t>out_of_scope</t>
        </is>
      </c>
      <c r="D360" s="5" t="n">
        <v/>
      </c>
      <c r="E360" s="5" t="inlineStr">
        <is>
          <t>fr</t>
        </is>
      </c>
      <c r="F360" s="5" t="inlineStr">
        <is>
          <t>zero-shot</t>
        </is>
      </c>
      <c r="G360" s="5" t="inlineStr">
        <is>
          <t>out_of_scope</t>
        </is>
      </c>
      <c r="H360" s="5" t="inlineStr">
        <is>
          <t>out_of_scope</t>
        </is>
      </c>
      <c r="I360" s="5" t="b">
        <v>1</v>
      </c>
      <c r="J360" s="5" t="b">
        <v>0</v>
      </c>
      <c r="K360" s="5" t="inlineStr">
        <is>
          <t>success</t>
        </is>
      </c>
      <c r="L360" s="5" t="n"/>
      <c r="M360" s="5" t="n"/>
      <c r="N360" s="5" t="n"/>
      <c r="O360" s="5" t="n">
        <v>11.37</v>
      </c>
    </row>
    <row r="361">
      <c r="A361" s="5" t="inlineStr">
        <is>
          <t>out_of_scope_002</t>
        </is>
      </c>
      <c r="B361" s="5" t="n">
        <v>3</v>
      </c>
      <c r="C361" s="5" t="inlineStr">
        <is>
          <t>out_of_scope</t>
        </is>
      </c>
      <c r="D361" s="5" t="n">
        <v/>
      </c>
      <c r="E361" s="5" t="inlineStr">
        <is>
          <t>ar</t>
        </is>
      </c>
      <c r="F361" s="5" t="inlineStr">
        <is>
          <t>zero-shot</t>
        </is>
      </c>
      <c r="G361" s="5" t="inlineStr">
        <is>
          <t>out_of_scope</t>
        </is>
      </c>
      <c r="H361" s="5" t="inlineStr">
        <is>
          <t>ask_query</t>
        </is>
      </c>
      <c r="I361" s="5" t="b">
        <v>0</v>
      </c>
      <c r="J361" s="5" t="b">
        <v>0</v>
      </c>
      <c r="K361" s="5" t="inlineStr">
        <is>
          <t>success</t>
        </is>
      </c>
      <c r="L361" s="5" t="n"/>
      <c r="M361" s="5" t="n"/>
      <c r="N361" s="5" t="n"/>
      <c r="O361" s="5" t="n">
        <v>3.96</v>
      </c>
    </row>
    <row r="362">
      <c r="A362" s="5" t="inlineStr">
        <is>
          <t>property_ambiguity_004</t>
        </is>
      </c>
      <c r="B362" s="5" t="n">
        <v>3</v>
      </c>
      <c r="C362" s="5" t="inlineStr">
        <is>
          <t>property_ambiguity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template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0</v>
      </c>
      <c r="N362" s="5" t="n">
        <v>0</v>
      </c>
      <c r="O362" s="5" t="n">
        <v>10.31</v>
      </c>
    </row>
    <row r="363">
      <c r="A363" s="5" t="inlineStr">
        <is>
          <t>property_ambiguity_004</t>
        </is>
      </c>
      <c r="B363" s="5" t="n">
        <v>3</v>
      </c>
      <c r="C363" s="5" t="inlineStr">
        <is>
          <t>property_ambiguity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single_kg3</t>
        </is>
      </c>
      <c r="I363" s="5" t="b">
        <v>1</v>
      </c>
      <c r="J363" s="5" t="b">
        <v>1</v>
      </c>
      <c r="K363" s="5" t="inlineStr">
        <is>
          <t>no_results</t>
        </is>
      </c>
      <c r="L363" s="5" t="n"/>
      <c r="M363" s="5" t="n">
        <v>0</v>
      </c>
      <c r="N363" s="5" t="n">
        <v>0</v>
      </c>
      <c r="O363" s="5" t="n">
        <v>12.45</v>
      </c>
    </row>
    <row r="364">
      <c r="A364" s="5" t="inlineStr">
        <is>
          <t>property_ambiguity_004</t>
        </is>
      </c>
      <c r="B364" s="5" t="n">
        <v>3</v>
      </c>
      <c r="C364" s="5" t="inlineStr">
        <is>
          <t>property_ambiguity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single_kg3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1</v>
      </c>
      <c r="N364" s="5" t="n">
        <v>1</v>
      </c>
      <c r="O364" s="5" t="n">
        <v>12.21</v>
      </c>
    </row>
    <row r="365">
      <c r="A365" s="5" t="inlineStr">
        <is>
          <t>filter_numeric_kg1_001</t>
        </is>
      </c>
      <c r="B365" s="5" t="n">
        <v>2</v>
      </c>
      <c r="C365" s="5" t="inlineStr">
        <is>
          <t>filter_numeric_kg1</t>
        </is>
      </c>
      <c r="D365" s="5" t="inlineStr">
        <is>
          <t>flights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template</t>
        </is>
      </c>
      <c r="H365" s="5" t="inlineStr">
        <is>
          <t>template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1</v>
      </c>
      <c r="N365" s="5" t="n">
        <v>1</v>
      </c>
      <c r="O365" s="5" t="n">
        <v>10.23</v>
      </c>
    </row>
    <row r="366">
      <c r="A366" s="5" t="inlineStr">
        <is>
          <t>filter_numeric_kg1_001</t>
        </is>
      </c>
      <c r="B366" s="5" t="n">
        <v>2</v>
      </c>
      <c r="C366" s="5" t="inlineStr">
        <is>
          <t>filter_numeric_kg1</t>
        </is>
      </c>
      <c r="D366" s="5" t="inlineStr">
        <is>
          <t>flights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template</t>
        </is>
      </c>
      <c r="H366" s="5" t="inlineStr">
        <is>
          <t>template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n">
        <v>1</v>
      </c>
      <c r="N366" s="5" t="n">
        <v>1</v>
      </c>
      <c r="O366" s="5" t="n">
        <v>9.529999999999999</v>
      </c>
    </row>
    <row r="367">
      <c r="A367" s="5" t="inlineStr">
        <is>
          <t>filter_numeric_kg1_001</t>
        </is>
      </c>
      <c r="B367" s="5" t="n">
        <v>2</v>
      </c>
      <c r="C367" s="5" t="inlineStr">
        <is>
          <t>filter_numeric_kg1</t>
        </is>
      </c>
      <c r="D367" s="5" t="inlineStr">
        <is>
          <t>flights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template</t>
        </is>
      </c>
      <c r="H367" s="5" t="inlineStr">
        <is>
          <t>template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6.59</v>
      </c>
    </row>
    <row r="368">
      <c r="A368" s="5" t="inlineStr">
        <is>
          <t>filter_numeric_kg1_002</t>
        </is>
      </c>
      <c r="B368" s="5" t="n">
        <v>2</v>
      </c>
      <c r="C368" s="5" t="inlineStr">
        <is>
          <t>filter_numeric_kg1</t>
        </is>
      </c>
      <c r="D368" s="5" t="inlineStr">
        <is>
          <t>flights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template</t>
        </is>
      </c>
      <c r="H368" s="5" t="inlineStr">
        <is>
          <t>template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9.91</v>
      </c>
    </row>
    <row r="369">
      <c r="A369" s="5" t="inlineStr">
        <is>
          <t>filter_numeric_kg1_002</t>
        </is>
      </c>
      <c r="B369" s="5" t="n">
        <v>2</v>
      </c>
      <c r="C369" s="5" t="inlineStr">
        <is>
          <t>filter_numeric_kg1</t>
        </is>
      </c>
      <c r="D369" s="5" t="inlineStr">
        <is>
          <t>flights</t>
        </is>
      </c>
      <c r="E369" s="5" t="inlineStr">
        <is>
          <t>fr</t>
        </is>
      </c>
      <c r="F369" s="5" t="inlineStr">
        <is>
          <t>zero-shot</t>
        </is>
      </c>
      <c r="G369" s="5" t="inlineStr">
        <is>
          <t>template</t>
        </is>
      </c>
      <c r="H369" s="5" t="inlineStr">
        <is>
          <t>template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9.699999999999999</v>
      </c>
    </row>
    <row r="370">
      <c r="A370" s="5" t="inlineStr">
        <is>
          <t>filter_numeric_kg1_002</t>
        </is>
      </c>
      <c r="B370" s="5" t="n">
        <v>2</v>
      </c>
      <c r="C370" s="5" t="inlineStr">
        <is>
          <t>filter_numeric_kg1</t>
        </is>
      </c>
      <c r="D370" s="5" t="inlineStr">
        <is>
          <t>flights</t>
        </is>
      </c>
      <c r="E370" s="5" t="inlineStr">
        <is>
          <t>ar</t>
        </is>
      </c>
      <c r="F370" s="5" t="inlineStr">
        <is>
          <t>zero-shot</t>
        </is>
      </c>
      <c r="G370" s="5" t="inlineStr">
        <is>
          <t>template</t>
        </is>
      </c>
      <c r="H370" s="5" t="inlineStr">
        <is>
          <t>template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9.76</v>
      </c>
    </row>
    <row r="371">
      <c r="A371" s="5" t="inlineStr">
        <is>
          <t>filter_numeric_kg1_003</t>
        </is>
      </c>
      <c r="B371" s="5" t="n">
        <v>2</v>
      </c>
      <c r="C371" s="5" t="inlineStr">
        <is>
          <t>filter_numeric_kg1</t>
        </is>
      </c>
      <c r="D371" s="5" t="inlineStr">
        <is>
          <t>flights</t>
        </is>
      </c>
      <c r="E371" s="5" t="inlineStr">
        <is>
          <t>en</t>
        </is>
      </c>
      <c r="F371" s="5" t="inlineStr">
        <is>
          <t>zero-shot</t>
        </is>
      </c>
      <c r="G371" s="5" t="inlineStr">
        <is>
          <t>template</t>
        </is>
      </c>
      <c r="H371" s="5" t="inlineStr">
        <is>
          <t>template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7.82</v>
      </c>
    </row>
    <row r="372">
      <c r="A372" s="5" t="inlineStr">
        <is>
          <t>filter_numeric_kg1_003</t>
        </is>
      </c>
      <c r="B372" s="5" t="n">
        <v>2</v>
      </c>
      <c r="C372" s="5" t="inlineStr">
        <is>
          <t>filter_numeric_kg1</t>
        </is>
      </c>
      <c r="D372" s="5" t="inlineStr">
        <is>
          <t>flights</t>
        </is>
      </c>
      <c r="E372" s="5" t="inlineStr">
        <is>
          <t>fr</t>
        </is>
      </c>
      <c r="F372" s="5" t="inlineStr">
        <is>
          <t>zero-shot</t>
        </is>
      </c>
      <c r="G372" s="5" t="inlineStr">
        <is>
          <t>template</t>
        </is>
      </c>
      <c r="H372" s="5" t="inlineStr">
        <is>
          <t>template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6.75</v>
      </c>
    </row>
    <row r="373">
      <c r="A373" s="5" t="inlineStr">
        <is>
          <t>filter_numeric_kg1_003</t>
        </is>
      </c>
      <c r="B373" s="5" t="n">
        <v>2</v>
      </c>
      <c r="C373" s="5" t="inlineStr">
        <is>
          <t>filter_numeric_kg1</t>
        </is>
      </c>
      <c r="D373" s="5" t="inlineStr">
        <is>
          <t>flights</t>
        </is>
      </c>
      <c r="E373" s="5" t="inlineStr">
        <is>
          <t>ar</t>
        </is>
      </c>
      <c r="F373" s="5" t="inlineStr">
        <is>
          <t>zero-shot</t>
        </is>
      </c>
      <c r="G373" s="5" t="inlineStr">
        <is>
          <t>template</t>
        </is>
      </c>
      <c r="H373" s="5" t="inlineStr">
        <is>
          <t>template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6.76</v>
      </c>
    </row>
    <row r="374">
      <c r="A374" s="5" t="inlineStr">
        <is>
          <t>filter_numeric_kg2_003</t>
        </is>
      </c>
      <c r="B374" s="5" t="n">
        <v>2</v>
      </c>
      <c r="C374" s="5" t="inlineStr">
        <is>
          <t>filter_numeric_kg2</t>
        </is>
      </c>
      <c r="D374" s="5" t="inlineStr">
        <is>
          <t>airports</t>
        </is>
      </c>
      <c r="E374" s="5" t="inlineStr">
        <is>
          <t>en</t>
        </is>
      </c>
      <c r="F374" s="5" t="inlineStr">
        <is>
          <t>zero-shot</t>
        </is>
      </c>
      <c r="G374" s="5" t="inlineStr">
        <is>
          <t>template</t>
        </is>
      </c>
      <c r="H374" s="5" t="inlineStr">
        <is>
          <t>template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7.45</v>
      </c>
    </row>
    <row r="375">
      <c r="A375" s="5" t="inlineStr">
        <is>
          <t>filter_numeric_kg2_003</t>
        </is>
      </c>
      <c r="B375" s="5" t="n">
        <v>2</v>
      </c>
      <c r="C375" s="5" t="inlineStr">
        <is>
          <t>filter_numeric_kg2</t>
        </is>
      </c>
      <c r="D375" s="5" t="inlineStr">
        <is>
          <t>airports</t>
        </is>
      </c>
      <c r="E375" s="5" t="inlineStr">
        <is>
          <t>fr</t>
        </is>
      </c>
      <c r="F375" s="5" t="inlineStr">
        <is>
          <t>zero-shot</t>
        </is>
      </c>
      <c r="G375" s="5" t="inlineStr">
        <is>
          <t>template</t>
        </is>
      </c>
      <c r="H375" s="5" t="inlineStr">
        <is>
          <t>template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9.52</v>
      </c>
    </row>
    <row r="376">
      <c r="A376" s="5" t="inlineStr">
        <is>
          <t>filter_numeric_kg2_003</t>
        </is>
      </c>
      <c r="B376" s="5" t="n">
        <v>2</v>
      </c>
      <c r="C376" s="5" t="inlineStr">
        <is>
          <t>filter_numeric_kg2</t>
        </is>
      </c>
      <c r="D376" s="5" t="inlineStr">
        <is>
          <t>airports</t>
        </is>
      </c>
      <c r="E376" s="5" t="inlineStr">
        <is>
          <t>ar</t>
        </is>
      </c>
      <c r="F376" s="5" t="inlineStr">
        <is>
          <t>zero-shot</t>
        </is>
      </c>
      <c r="G376" s="5" t="inlineStr">
        <is>
          <t>template</t>
        </is>
      </c>
      <c r="H376" s="5" t="inlineStr">
        <is>
          <t>template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12.37</v>
      </c>
    </row>
  </sheetData>
  <autoFilter ref="A1:O3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2026-08-17T20:04:34Z</dcterms:created>
  <dcterms:modified xsi:type="dcterms:W3CDTF">2026-08-17T20:04:35Z</dcterms:modified>
</cp:coreProperties>
</file>