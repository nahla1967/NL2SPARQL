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'Raw'!$A$1:$O$166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COUNTIF(Raw!E2:E166,"en")</f>
        <v/>
      </c>
      <c r="C6" s="6">
        <f>IFERROR(COUNTIFS(Raw!E2:E166,"en",Raw!I2:I166,TRUE)/COUNTIF(Raw!E2:E166,"en"),"")</f>
        <v/>
      </c>
      <c r="D6" s="6">
        <f>IFERROR(COUNTIFS(Raw!E2:E166,"en",Raw!K2:K166,"success")/COUNTIF(Raw!E2:E166,"en"),"")</f>
        <v/>
      </c>
      <c r="E6" s="6">
        <f>IFERROR(COUNTIFS(Raw!E2:E166,"en",Raw!J2:J166,TRUE)/COUNTIF(Raw!E2:E166,"en"),"")</f>
        <v/>
      </c>
      <c r="F6" s="6">
        <f>IFERROR(AVERAGEIFS(Raw!M2:M166,Raw!E2:E166,"en"),"")</f>
        <v/>
      </c>
      <c r="G6" s="6">
        <f>IFERROR(AVERAGEIFS(Raw!N2:N166,Raw!E2:E166,"en"),"")</f>
        <v/>
      </c>
    </row>
    <row r="7">
      <c r="A7" s="5" t="inlineStr">
        <is>
          <t>fr</t>
        </is>
      </c>
      <c r="B7" s="5">
        <f>COUNTIF(Raw!E2:E166,"fr")</f>
        <v/>
      </c>
      <c r="C7" s="6">
        <f>IFERROR(COUNTIFS(Raw!E2:E166,"fr",Raw!I2:I166,TRUE)/COUNTIF(Raw!E2:E166,"fr"),"")</f>
        <v/>
      </c>
      <c r="D7" s="6">
        <f>IFERROR(COUNTIFS(Raw!E2:E166,"fr",Raw!K2:K166,"success")/COUNTIF(Raw!E2:E166,"fr"),"")</f>
        <v/>
      </c>
      <c r="E7" s="6">
        <f>IFERROR(COUNTIFS(Raw!E2:E166,"fr",Raw!J2:J166,TRUE)/COUNTIF(Raw!E2:E166,"fr"),"")</f>
        <v/>
      </c>
      <c r="F7" s="6">
        <f>IFERROR(AVERAGEIFS(Raw!M2:M166,Raw!E2:E166,"fr"),"")</f>
        <v/>
      </c>
      <c r="G7" s="6">
        <f>IFERROR(AVERAGEIFS(Raw!N2:N166,Raw!E2:E166,"fr"),"")</f>
        <v/>
      </c>
    </row>
    <row r="8">
      <c r="A8" s="5" t="inlineStr">
        <is>
          <t>ar</t>
        </is>
      </c>
      <c r="B8" s="5">
        <f>COUNTIF(Raw!E2:E166,"ar")</f>
        <v/>
      </c>
      <c r="C8" s="6">
        <f>IFERROR(COUNTIFS(Raw!E2:E166,"ar",Raw!I2:I166,TRUE)/COUNTIF(Raw!E2:E166,"ar"),"")</f>
        <v/>
      </c>
      <c r="D8" s="6">
        <f>IFERROR(COUNTIFS(Raw!E2:E166,"ar",Raw!K2:K166,"success")/COUNTIF(Raw!E2:E166,"ar"),"")</f>
        <v/>
      </c>
      <c r="E8" s="6">
        <f>IFERROR(COUNTIFS(Raw!E2:E166,"ar",Raw!J2:J166,TRUE)/COUNTIF(Raw!E2:E166,"ar"),"")</f>
        <v/>
      </c>
      <c r="F8" s="6">
        <f>IFERROR(AVERAGEIFS(Raw!M2:M166,Raw!E2:E166,"ar"),"")</f>
        <v/>
      </c>
      <c r="G8" s="6">
        <f>IFERROR(AVERAGEIFS(Raw!N2:N166,Raw!E2:E166,"ar"),"")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COUNTIF(Raw!F2:F166,"zero-shot")</f>
        <v/>
      </c>
      <c r="C12" s="6">
        <f>IFERROR(COUNTIFS(Raw!F2:F166,"zero-shot",Raw!I2:I166,TRUE)/COUNTIF(Raw!F2:F166,"zero-shot"),"")</f>
        <v/>
      </c>
      <c r="D12" s="6">
        <f>IFERROR(COUNTIFS(Raw!F2:F166,"zero-shot",Raw!K2:K166,"success")/COUNTIF(Raw!F2:F166,"zero-shot"),"")</f>
        <v/>
      </c>
      <c r="E12" s="6">
        <f>IFERROR(COUNTIFS(Raw!F2:F166,"zero-shot",Raw!J2:J166,TRUE)/COUNTIF(Raw!F2:F166,"zero-shot"),"")</f>
        <v/>
      </c>
      <c r="F12" s="6">
        <f>IFERROR(AVERAGEIFS(Raw!M2:M166,Raw!F2:F166,"zero-shot"),"")</f>
        <v/>
      </c>
      <c r="G12" s="6">
        <f>IFERROR(AVERAGEIFS(Raw!N2:N166,Raw!F2:F166,"zero-shot"),"")</f>
        <v/>
      </c>
    </row>
    <row r="13">
      <c r="A13" s="5" t="inlineStr">
        <is>
          <t>few-shot</t>
        </is>
      </c>
      <c r="B13" s="5">
        <f>COUNTIF(Raw!F2:F166,"few-shot")</f>
        <v/>
      </c>
      <c r="C13" s="6">
        <f>IFERROR(COUNTIFS(Raw!F2:F166,"few-shot",Raw!I2:I166,TRUE)/COUNTIF(Raw!F2:F166,"few-shot"),"")</f>
        <v/>
      </c>
      <c r="D13" s="6">
        <f>IFERROR(COUNTIFS(Raw!F2:F166,"few-shot",Raw!K2:K166,"success")/COUNTIF(Raw!F2:F166,"few-shot"),"")</f>
        <v/>
      </c>
      <c r="E13" s="6">
        <f>IFERROR(COUNTIFS(Raw!F2:F166,"few-shot",Raw!J2:J166,TRUE)/COUNTIF(Raw!F2:F166,"few-shot"),"")</f>
        <v/>
      </c>
      <c r="F13" s="6">
        <f>IFERROR(AVERAGEIFS(Raw!M2:M166,Raw!F2:F166,"few-shot"),"")</f>
        <v/>
      </c>
      <c r="G13" s="6">
        <f>IFERROR(AVERAGEIFS(Raw!N2:N166,Raw!F2:F166,"few-shot"),"")</f>
        <v/>
      </c>
    </row>
    <row r="14">
      <c r="A14" s="5" t="inlineStr">
        <is>
          <t>cot</t>
        </is>
      </c>
      <c r="B14" s="5">
        <f>COUNTIF(Raw!F2:F166,"cot")</f>
        <v/>
      </c>
      <c r="C14" s="6">
        <f>IFERROR(COUNTIFS(Raw!F2:F166,"cot",Raw!I2:I166,TRUE)/COUNTIF(Raw!F2:F166,"cot"),"")</f>
        <v/>
      </c>
      <c r="D14" s="6">
        <f>IFERROR(COUNTIFS(Raw!F2:F166,"cot",Raw!K2:K166,"success")/COUNTIF(Raw!F2:F166,"cot"),"")</f>
        <v/>
      </c>
      <c r="E14" s="6">
        <f>IFERROR(COUNTIFS(Raw!F2:F166,"cot",Raw!J2:J166,TRUE)/COUNTIF(Raw!F2:F166,"cot"),"")</f>
        <v/>
      </c>
      <c r="F14" s="6">
        <f>IFERROR(AVERAGEIFS(Raw!M2:M166,Raw!F2:F166,"cot"),"")</f>
        <v/>
      </c>
      <c r="G14" s="6">
        <f>IFERROR(AVERAGEIFS(Raw!N2:N166,Raw!F2:F166,"cot"),"")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COUNTIF(Raw!B2:B166,"1")</f>
        <v/>
      </c>
      <c r="C18" s="6">
        <f>IFERROR(COUNTIFS(Raw!B2:B166,"1",Raw!I2:I166,TRUE)/COUNTIF(Raw!B2:B166,"1"),"")</f>
        <v/>
      </c>
      <c r="D18" s="6">
        <f>IFERROR(COUNTIFS(Raw!B2:B166,"1",Raw!K2:K166,"success")/COUNTIF(Raw!B2:B166,"1"),"")</f>
        <v/>
      </c>
      <c r="E18" s="6">
        <f>IFERROR(COUNTIFS(Raw!B2:B166,"1",Raw!J2:J166,TRUE)/COUNTIF(Raw!B2:B166,"1"),"")</f>
        <v/>
      </c>
      <c r="F18" s="6">
        <f>IFERROR(AVERAGEIFS(Raw!M2:M166,Raw!B2:B166,"1"),"")</f>
        <v/>
      </c>
      <c r="G18" s="6">
        <f>IFERROR(AVERAGEIFS(Raw!N2:N166,Raw!B2:B166,"1"),"")</f>
        <v/>
      </c>
    </row>
    <row r="19">
      <c r="A19" s="5" t="n">
        <v>2</v>
      </c>
      <c r="B19" s="5">
        <f>COUNTIF(Raw!B2:B166,"2")</f>
        <v/>
      </c>
      <c r="C19" s="6">
        <f>IFERROR(COUNTIFS(Raw!B2:B166,"2",Raw!I2:I166,TRUE)/COUNTIF(Raw!B2:B166,"2"),"")</f>
        <v/>
      </c>
      <c r="D19" s="6">
        <f>IFERROR(COUNTIFS(Raw!B2:B166,"2",Raw!K2:K166,"success")/COUNTIF(Raw!B2:B166,"2"),"")</f>
        <v/>
      </c>
      <c r="E19" s="6">
        <f>IFERROR(COUNTIFS(Raw!B2:B166,"2",Raw!J2:J166,TRUE)/COUNTIF(Raw!B2:B166,"2"),"")</f>
        <v/>
      </c>
      <c r="F19" s="6">
        <f>IFERROR(AVERAGEIFS(Raw!M2:M166,Raw!B2:B166,"2"),"")</f>
        <v/>
      </c>
      <c r="G19" s="6">
        <f>IFERROR(AVERAGEIFS(Raw!N2:N166,Raw!B2:B166,"2"),"")</f>
        <v/>
      </c>
    </row>
    <row r="20">
      <c r="A20" s="5" t="n">
        <v>3</v>
      </c>
      <c r="B20" s="5">
        <f>COUNTIF(Raw!B2:B166,"3")</f>
        <v/>
      </c>
      <c r="C20" s="6">
        <f>IFERROR(COUNTIFS(Raw!B2:B166,"3",Raw!I2:I166,TRUE)/COUNTIF(Raw!B2:B166,"3"),"")</f>
        <v/>
      </c>
      <c r="D20" s="6">
        <f>IFERROR(COUNTIFS(Raw!B2:B166,"3",Raw!K2:K166,"success")/COUNTIF(Raw!B2:B166,"3"),"")</f>
        <v/>
      </c>
      <c r="E20" s="6">
        <f>IFERROR(COUNTIFS(Raw!B2:B166,"3",Raw!J2:J166,TRUE)/COUNTIF(Raw!B2:B166,"3"),"")</f>
        <v/>
      </c>
      <c r="F20" s="6">
        <f>IFERROR(AVERAGEIFS(Raw!M2:M166,Raw!B2:B166,"3"),"")</f>
        <v/>
      </c>
      <c r="G20" s="6">
        <f>IFERROR(AVERAGEIFS(Raw!N2:N166,Raw!B2:B166,"3"),"")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COUNTIF(Raw!C2:C166,"single_kg1")</f>
        <v/>
      </c>
      <c r="C24" s="6">
        <f>IFERROR(COUNTIFS(Raw!C2:C166,"single_kg1",Raw!I2:I166,TRUE)/COUNTIF(Raw!C2:C166,"single_kg1"),"")</f>
        <v/>
      </c>
      <c r="D24" s="6">
        <f>IFERROR(COUNTIFS(Raw!C2:C166,"single_kg1",Raw!K2:K166,"success")/COUNTIF(Raw!C2:C166,"single_kg1"),"")</f>
        <v/>
      </c>
      <c r="E24" s="6">
        <f>IFERROR(COUNTIFS(Raw!C2:C166,"single_kg1",Raw!J2:J166,TRUE)/COUNTIF(Raw!C2:C166,"single_kg1"),"")</f>
        <v/>
      </c>
      <c r="F24" s="6">
        <f>IFERROR(AVERAGEIFS(Raw!M2:M166,Raw!C2:C166,"single_kg1"),"")</f>
        <v/>
      </c>
      <c r="G24" s="6">
        <f>IFERROR(AVERAGEIFS(Raw!N2:N166,Raw!C2:C166,"single_kg1"),"")</f>
        <v/>
      </c>
    </row>
    <row r="25">
      <c r="A25" s="5" t="inlineStr">
        <is>
          <t>single_kg2</t>
        </is>
      </c>
      <c r="B25" s="5">
        <f>COUNTIF(Raw!C2:C166,"single_kg2")</f>
        <v/>
      </c>
      <c r="C25" s="6">
        <f>IFERROR(COUNTIFS(Raw!C2:C166,"single_kg2",Raw!I2:I166,TRUE)/COUNTIF(Raw!C2:C166,"single_kg2"),"")</f>
        <v/>
      </c>
      <c r="D25" s="6">
        <f>IFERROR(COUNTIFS(Raw!C2:C166,"single_kg2",Raw!K2:K166,"success")/COUNTIF(Raw!C2:C166,"single_kg2"),"")</f>
        <v/>
      </c>
      <c r="E25" s="6">
        <f>IFERROR(COUNTIFS(Raw!C2:C166,"single_kg2",Raw!J2:J166,TRUE)/COUNTIF(Raw!C2:C166,"single_kg2"),"")</f>
        <v/>
      </c>
      <c r="F25" s="6">
        <f>IFERROR(AVERAGEIFS(Raw!M2:M166,Raw!C2:C166,"single_kg2"),"")</f>
        <v/>
      </c>
      <c r="G25" s="6">
        <f>IFERROR(AVERAGEIFS(Raw!N2:N166,Raw!C2:C166,"single_kg2"),"")</f>
        <v/>
      </c>
    </row>
    <row r="26">
      <c r="A26" s="5" t="inlineStr">
        <is>
          <t>single_kg3</t>
        </is>
      </c>
      <c r="B26" s="5">
        <f>COUNTIF(Raw!C2:C166,"single_kg3")</f>
        <v/>
      </c>
      <c r="C26" s="6">
        <f>IFERROR(COUNTIFS(Raw!C2:C166,"single_kg3",Raw!I2:I166,TRUE)/COUNTIF(Raw!C2:C166,"single_kg3"),"")</f>
        <v/>
      </c>
      <c r="D26" s="6">
        <f>IFERROR(COUNTIFS(Raw!C2:C166,"single_kg3",Raw!K2:K166,"success")/COUNTIF(Raw!C2:C166,"single_kg3"),"")</f>
        <v/>
      </c>
      <c r="E26" s="6">
        <f>IFERROR(COUNTIFS(Raw!C2:C166,"single_kg3",Raw!J2:J166,TRUE)/COUNTIF(Raw!C2:C166,"single_kg3"),"")</f>
        <v/>
      </c>
      <c r="F26" s="6">
        <f>IFERROR(AVERAGEIFS(Raw!M2:M166,Raw!C2:C166,"single_kg3"),"")</f>
        <v/>
      </c>
      <c r="G26" s="6">
        <f>IFERROR(AVERAGEIFS(Raw!N2:N166,Raw!C2:C166,"single_kg3"),"")</f>
        <v/>
      </c>
    </row>
    <row r="27">
      <c r="A27" s="5" t="inlineStr">
        <is>
          <t>cross_kg</t>
        </is>
      </c>
      <c r="B27" s="5">
        <f>COUNTIF(Raw!C2:C166,"cross_kg")</f>
        <v/>
      </c>
      <c r="C27" s="6">
        <f>IFERROR(COUNTIFS(Raw!C2:C166,"cross_kg",Raw!I2:I166,TRUE)/COUNTIF(Raw!C2:C166,"cross_kg"),"")</f>
        <v/>
      </c>
      <c r="D27" s="6">
        <f>IFERROR(COUNTIFS(Raw!C2:C166,"cross_kg",Raw!K2:K166,"success")/COUNTIF(Raw!C2:C166,"cross_kg"),"")</f>
        <v/>
      </c>
      <c r="E27" s="6">
        <f>IFERROR(COUNTIFS(Raw!C2:C166,"cross_kg",Raw!J2:J166,TRUE)/COUNTIF(Raw!C2:C166,"cross_kg"),"")</f>
        <v/>
      </c>
      <c r="F27" s="6">
        <f>IFERROR(AVERAGEIFS(Raw!M2:M166,Raw!C2:C166,"cross_kg"),"")</f>
        <v/>
      </c>
      <c r="G27" s="6">
        <f>IFERROR(AVERAGEIFS(Raw!N2:N166,Raw!C2:C166,"cross_kg"),"")</f>
        <v/>
      </c>
    </row>
    <row r="28">
      <c r="A28" s="5" t="inlineStr">
        <is>
          <t>open_kg</t>
        </is>
      </c>
      <c r="B28" s="5">
        <f>COUNTIF(Raw!C2:C166,"open_kg")</f>
        <v/>
      </c>
      <c r="C28" s="6">
        <f>IFERROR(COUNTIFS(Raw!C2:C166,"open_kg",Raw!I2:I166,TRUE)/COUNTIF(Raw!C2:C166,"open_kg"),"")</f>
        <v/>
      </c>
      <c r="D28" s="6">
        <f>IFERROR(COUNTIFS(Raw!C2:C166,"open_kg",Raw!K2:K166,"success")/COUNTIF(Raw!C2:C166,"open_kg"),"")</f>
        <v/>
      </c>
      <c r="E28" s="6">
        <f>IFERROR(COUNTIFS(Raw!C2:C166,"open_kg",Raw!J2:J166,TRUE)/COUNTIF(Raw!C2:C166,"open_kg"),"")</f>
        <v/>
      </c>
      <c r="F28" s="6">
        <f>IFERROR(AVERAGEIFS(Raw!M2:M166,Raw!C2:C166,"open_kg"),"")</f>
        <v/>
      </c>
      <c r="G28" s="6">
        <f>IFERROR(AVERAGEIFS(Raw!N2:N166,Raw!C2:C166,"open_kg"),"")</f>
        <v/>
      </c>
    </row>
    <row r="29">
      <c r="A29" s="5" t="inlineStr">
        <is>
          <t>count_kg1</t>
        </is>
      </c>
      <c r="B29" s="5">
        <f>COUNTIF(Raw!C2:C166,"count_kg1")</f>
        <v/>
      </c>
      <c r="C29" s="6">
        <f>IFERROR(COUNTIFS(Raw!C2:C166,"count_kg1",Raw!I2:I166,TRUE)/COUNTIF(Raw!C2:C166,"count_kg1"),"")</f>
        <v/>
      </c>
      <c r="D29" s="6">
        <f>IFERROR(COUNTIFS(Raw!C2:C166,"count_kg1",Raw!K2:K166,"success")/COUNTIF(Raw!C2:C166,"count_kg1"),"")</f>
        <v/>
      </c>
      <c r="E29" s="6">
        <f>IFERROR(COUNTIFS(Raw!C2:C166,"count_kg1",Raw!J2:J166,TRUE)/COUNTIF(Raw!C2:C166,"count_kg1"),"")</f>
        <v/>
      </c>
      <c r="F29" s="6">
        <f>IFERROR(AVERAGEIFS(Raw!M2:M166,Raw!C2:C166,"count_kg1"),"")</f>
        <v/>
      </c>
      <c r="G29" s="6">
        <f>IFERROR(AVERAGEIFS(Raw!N2:N166,Raw!C2:C166,"count_kg1"),"")</f>
        <v/>
      </c>
    </row>
    <row r="30">
      <c r="A30" s="5" t="inlineStr">
        <is>
          <t>count_kg3</t>
        </is>
      </c>
      <c r="B30" s="5">
        <f>COUNTIF(Raw!C2:C166,"count_kg3")</f>
        <v/>
      </c>
      <c r="C30" s="6">
        <f>IFERROR(COUNTIFS(Raw!C2:C166,"count_kg3",Raw!I2:I166,TRUE)/COUNTIF(Raw!C2:C166,"count_kg3"),"")</f>
        <v/>
      </c>
      <c r="D30" s="6">
        <f>IFERROR(COUNTIFS(Raw!C2:C166,"count_kg3",Raw!K2:K166,"success")/COUNTIF(Raw!C2:C166,"count_kg3"),"")</f>
        <v/>
      </c>
      <c r="E30" s="6">
        <f>IFERROR(COUNTIFS(Raw!C2:C166,"count_kg3",Raw!J2:J166,TRUE)/COUNTIF(Raw!C2:C166,"count_kg3"),"")</f>
        <v/>
      </c>
      <c r="F30" s="6">
        <f>IFERROR(AVERAGEIFS(Raw!M2:M166,Raw!C2:C166,"count_kg3"),"")</f>
        <v/>
      </c>
      <c r="G30" s="6">
        <f>IFERROR(AVERAGEIFS(Raw!N2:N166,Raw!C2:C166,"count_kg3"),"")</f>
        <v/>
      </c>
    </row>
    <row r="31">
      <c r="A31" s="5" t="inlineStr">
        <is>
          <t>filter_numeric_kg1</t>
        </is>
      </c>
      <c r="B31" s="5">
        <f>COUNTIF(Raw!C2:C166,"filter_numeric_kg1")</f>
        <v/>
      </c>
      <c r="C31" s="6">
        <f>IFERROR(COUNTIFS(Raw!C2:C166,"filter_numeric_kg1",Raw!I2:I166,TRUE)/COUNTIF(Raw!C2:C166,"filter_numeric_kg1"),"")</f>
        <v/>
      </c>
      <c r="D31" s="6">
        <f>IFERROR(COUNTIFS(Raw!C2:C166,"filter_numeric_kg1",Raw!K2:K166,"success")/COUNTIF(Raw!C2:C166,"filter_numeric_kg1"),"")</f>
        <v/>
      </c>
      <c r="E31" s="6">
        <f>IFERROR(COUNTIFS(Raw!C2:C166,"filter_numeric_kg1",Raw!J2:J166,TRUE)/COUNTIF(Raw!C2:C166,"filter_numeric_kg1"),"")</f>
        <v/>
      </c>
      <c r="F31" s="6">
        <f>IFERROR(AVERAGEIFS(Raw!M2:M166,Raw!C2:C166,"filter_numeric_kg1"),"")</f>
        <v/>
      </c>
      <c r="G31" s="6">
        <f>IFERROR(AVERAGEIFS(Raw!N2:N166,Raw!C2:C166,"filter_numeric_kg1"),"")</f>
        <v/>
      </c>
    </row>
    <row r="32">
      <c r="A32" s="5" t="inlineStr">
        <is>
          <t>filter_numeric_kg2</t>
        </is>
      </c>
      <c r="B32" s="5">
        <f>COUNTIF(Raw!C2:C166,"filter_numeric_kg2")</f>
        <v/>
      </c>
      <c r="C32" s="6">
        <f>IFERROR(COUNTIFS(Raw!C2:C166,"filter_numeric_kg2",Raw!I2:I166,TRUE)/COUNTIF(Raw!C2:C166,"filter_numeric_kg2"),"")</f>
        <v/>
      </c>
      <c r="D32" s="6">
        <f>IFERROR(COUNTIFS(Raw!C2:C166,"filter_numeric_kg2",Raw!K2:K166,"success")/COUNTIF(Raw!C2:C166,"filter_numeric_kg2"),"")</f>
        <v/>
      </c>
      <c r="E32" s="6">
        <f>IFERROR(COUNTIFS(Raw!C2:C166,"filter_numeric_kg2",Raw!J2:J166,TRUE)/COUNTIF(Raw!C2:C166,"filter_numeric_kg2"),"")</f>
        <v/>
      </c>
      <c r="F32" s="6">
        <f>IFERROR(AVERAGEIFS(Raw!M2:M166,Raw!C2:C166,"filter_numeric_kg2"),"")</f>
        <v/>
      </c>
      <c r="G32" s="6">
        <f>IFERROR(AVERAGEIFS(Raw!N2:N166,Raw!C2:C166,"filter_numeric_kg2"),"")</f>
        <v/>
      </c>
    </row>
    <row r="33">
      <c r="A33" s="5" t="inlineStr">
        <is>
          <t>filter_string_kg2</t>
        </is>
      </c>
      <c r="B33" s="5">
        <f>COUNTIF(Raw!C2:C166,"filter_string_kg2")</f>
        <v/>
      </c>
      <c r="C33" s="6">
        <f>IFERROR(COUNTIFS(Raw!C2:C166,"filter_string_kg2",Raw!I2:I166,TRUE)/COUNTIF(Raw!C2:C166,"filter_string_kg2"),"")</f>
        <v/>
      </c>
      <c r="D33" s="6">
        <f>IFERROR(COUNTIFS(Raw!C2:C166,"filter_string_kg2",Raw!K2:K166,"success")/COUNTIF(Raw!C2:C166,"filter_string_kg2"),"")</f>
        <v/>
      </c>
      <c r="E33" s="6">
        <f>IFERROR(COUNTIFS(Raw!C2:C166,"filter_string_kg2",Raw!J2:J166,TRUE)/COUNTIF(Raw!C2:C166,"filter_string_kg2"),"")</f>
        <v/>
      </c>
      <c r="F33" s="6">
        <f>IFERROR(AVERAGEIFS(Raw!M2:M166,Raw!C2:C166,"filter_string_kg2"),"")</f>
        <v/>
      </c>
      <c r="G33" s="6">
        <f>IFERROR(AVERAGEIFS(Raw!N2:N166,Raw!C2:C166,"filter_string_kg2"),"")</f>
        <v/>
      </c>
    </row>
    <row r="34">
      <c r="A34" s="5" t="inlineStr">
        <is>
          <t>filter_string_kg3</t>
        </is>
      </c>
      <c r="B34" s="5">
        <f>COUNTIF(Raw!C2:C166,"filter_string_kg3")</f>
        <v/>
      </c>
      <c r="C34" s="6">
        <f>IFERROR(COUNTIFS(Raw!C2:C166,"filter_string_kg3",Raw!I2:I166,TRUE)/COUNTIF(Raw!C2:C166,"filter_string_kg3"),"")</f>
        <v/>
      </c>
      <c r="D34" s="6">
        <f>IFERROR(COUNTIFS(Raw!C2:C166,"filter_string_kg3",Raw!K2:K166,"success")/COUNTIF(Raw!C2:C166,"filter_string_kg3"),"")</f>
        <v/>
      </c>
      <c r="E34" s="6">
        <f>IFERROR(COUNTIFS(Raw!C2:C166,"filter_string_kg3",Raw!J2:J166,TRUE)/COUNTIF(Raw!C2:C166,"filter_string_kg3"),"")</f>
        <v/>
      </c>
      <c r="F34" s="6">
        <f>IFERROR(AVERAGEIFS(Raw!M2:M166,Raw!C2:C166,"filter_string_kg3"),"")</f>
        <v/>
      </c>
      <c r="G34" s="6">
        <f>IFERROR(AVERAGEIFS(Raw!N2:N166,Raw!C2:C166,"filter_string_kg3"),"")</f>
        <v/>
      </c>
    </row>
    <row r="35">
      <c r="A35" s="5" t="inlineStr">
        <is>
          <t>ranking_kg2</t>
        </is>
      </c>
      <c r="B35" s="5">
        <f>COUNTIF(Raw!C2:C166,"ranking_kg2")</f>
        <v/>
      </c>
      <c r="C35" s="6">
        <f>IFERROR(COUNTIFS(Raw!C2:C166,"ranking_kg2",Raw!I2:I166,TRUE)/COUNTIF(Raw!C2:C166,"ranking_kg2"),"")</f>
        <v/>
      </c>
      <c r="D35" s="6">
        <f>IFERROR(COUNTIFS(Raw!C2:C166,"ranking_kg2",Raw!K2:K166,"success")/COUNTIF(Raw!C2:C166,"ranking_kg2"),"")</f>
        <v/>
      </c>
      <c r="E35" s="6">
        <f>IFERROR(COUNTIFS(Raw!C2:C166,"ranking_kg2",Raw!J2:J166,TRUE)/COUNTIF(Raw!C2:C166,"ranking_kg2"),"")</f>
        <v/>
      </c>
      <c r="F35" s="6">
        <f>IFERROR(AVERAGEIFS(Raw!M2:M166,Raw!C2:C166,"ranking_kg2"),"")</f>
        <v/>
      </c>
      <c r="G35" s="6">
        <f>IFERROR(AVERAGEIFS(Raw!N2:N166,Raw!C2:C166,"ranking_kg2"),"")</f>
        <v/>
      </c>
    </row>
    <row r="36">
      <c r="A36" s="5" t="inlineStr">
        <is>
          <t>compare_two_airports</t>
        </is>
      </c>
      <c r="B36" s="5">
        <f>COUNTIF(Raw!C2:C166,"compare_two_airports")</f>
        <v/>
      </c>
      <c r="C36" s="6">
        <f>IFERROR(COUNTIFS(Raw!C2:C166,"compare_two_airports",Raw!I2:I166,TRUE)/COUNTIF(Raw!C2:C166,"compare_two_airports"),"")</f>
        <v/>
      </c>
      <c r="D36" s="6">
        <f>IFERROR(COUNTIFS(Raw!C2:C166,"compare_two_airports",Raw!K2:K166,"success")/COUNTIF(Raw!C2:C166,"compare_two_airports"),"")</f>
        <v/>
      </c>
      <c r="E36" s="6">
        <f>IFERROR(COUNTIFS(Raw!C2:C166,"compare_two_airports",Raw!J2:J166,TRUE)/COUNTIF(Raw!C2:C166,"compare_two_airports"),"")</f>
        <v/>
      </c>
      <c r="F36" s="6">
        <f>IFERROR(AVERAGEIFS(Raw!M2:M166,Raw!C2:C166,"compare_two_airports"),"")</f>
        <v/>
      </c>
      <c r="G36" s="6">
        <f>IFERROR(AVERAGEIFS(Raw!N2:N166,Raw!C2:C166,"compare_two_airports"),"")</f>
        <v/>
      </c>
    </row>
    <row r="37">
      <c r="A37" s="5" t="inlineStr">
        <is>
          <t>out_of_scope</t>
        </is>
      </c>
      <c r="B37" s="5">
        <f>COUNTIF(Raw!C2:C166,"out_of_scope")</f>
        <v/>
      </c>
      <c r="C37" s="6">
        <f>IFERROR(COUNTIFS(Raw!C2:C166,"out_of_scope",Raw!I2:I166,TRUE)/COUNTIF(Raw!C2:C166,"out_of_scope"),"")</f>
        <v/>
      </c>
      <c r="D37" s="6">
        <f>IFERROR(COUNTIFS(Raw!C2:C166,"out_of_scope",Raw!K2:K166,"success")/COUNTIF(Raw!C2:C166,"out_of_scope"),"")</f>
        <v/>
      </c>
      <c r="E37" s="6">
        <f>IFERROR(COUNTIFS(Raw!C2:C166,"out_of_scope",Raw!J2:J166,TRUE)/COUNTIF(Raw!C2:C166,"out_of_scope"),"")</f>
        <v/>
      </c>
      <c r="F37" s="6">
        <f>IFERROR(AVERAGEIFS(Raw!M2:M166,Raw!C2:C166,"out_of_scope"),"")</f>
        <v/>
      </c>
      <c r="G37" s="6">
        <f>IFERROR(AVERAGEIFS(Raw!N2:N166,Raw!C2:C166,"out_of_scope"),"")</f>
        <v/>
      </c>
    </row>
    <row r="38">
      <c r="A38" s="5" t="inlineStr">
        <is>
          <t>ask_query</t>
        </is>
      </c>
      <c r="B38" s="5">
        <f>COUNTIF(Raw!C2:C166,"ask_query")</f>
        <v/>
      </c>
      <c r="C38" s="6">
        <f>IFERROR(COUNTIFS(Raw!C2:C166,"ask_query",Raw!I2:I166,TRUE)/COUNTIF(Raw!C2:C166,"ask_query"),"")</f>
        <v/>
      </c>
      <c r="D38" s="6">
        <f>IFERROR(COUNTIFS(Raw!C2:C166,"ask_query",Raw!K2:K166,"success")/COUNTIF(Raw!C2:C166,"ask_query"),"")</f>
        <v/>
      </c>
      <c r="E38" s="6">
        <f>IFERROR(COUNTIFS(Raw!C2:C166,"ask_query",Raw!J2:J166,TRUE)/COUNTIF(Raw!C2:C166,"ask_query"),"")</f>
        <v/>
      </c>
      <c r="F38" s="6">
        <f>IFERROR(AVERAGEIFS(Raw!M2:M166,Raw!C2:C166,"ask_query"),"")</f>
        <v/>
      </c>
      <c r="G38" s="6">
        <f>IFERROR(AVERAGEIFS(Raw!N2:N166,Raw!C2:C166,"ask_query"),"")</f>
        <v/>
      </c>
    </row>
    <row r="39">
      <c r="A39" s="5" t="inlineStr">
        <is>
          <t>typo_fuzzy</t>
        </is>
      </c>
      <c r="B39" s="5">
        <f>COUNTIF(Raw!C2:C166,"typo_fuzzy")</f>
        <v/>
      </c>
      <c r="C39" s="6">
        <f>IFERROR(COUNTIFS(Raw!C2:C166,"typo_fuzzy",Raw!I2:I166,TRUE)/COUNTIF(Raw!C2:C166,"typo_fuzzy"),"")</f>
        <v/>
      </c>
      <c r="D39" s="6">
        <f>IFERROR(COUNTIFS(Raw!C2:C166,"typo_fuzzy",Raw!K2:K166,"success")/COUNTIF(Raw!C2:C166,"typo_fuzzy"),"")</f>
        <v/>
      </c>
      <c r="E39" s="6">
        <f>IFERROR(COUNTIFS(Raw!C2:C166,"typo_fuzzy",Raw!J2:J166,TRUE)/COUNTIF(Raw!C2:C166,"typo_fuzzy"),"")</f>
        <v/>
      </c>
      <c r="F39" s="6">
        <f>IFERROR(AVERAGEIFS(Raw!M2:M166,Raw!C2:C166,"typo_fuzzy"),"")</f>
        <v/>
      </c>
      <c r="G39" s="6">
        <f>IFERROR(AVERAGEIFS(Raw!N2:N166,Raw!C2:C166,"typo_fuzzy"),"")</f>
        <v/>
      </c>
    </row>
    <row r="40">
      <c r="A40" s="5" t="inlineStr">
        <is>
          <t>multilingual_edge</t>
        </is>
      </c>
      <c r="B40" s="5">
        <f>COUNTIF(Raw!C2:C166,"multilingual_edge")</f>
        <v/>
      </c>
      <c r="C40" s="6">
        <f>IFERROR(COUNTIFS(Raw!C2:C166,"multilingual_edge",Raw!I2:I166,TRUE)/COUNTIF(Raw!C2:C166,"multilingual_edge"),"")</f>
        <v/>
      </c>
      <c r="D40" s="6">
        <f>IFERROR(COUNTIFS(Raw!C2:C166,"multilingual_edge",Raw!K2:K166,"success")/COUNTIF(Raw!C2:C166,"multilingual_edge"),"")</f>
        <v/>
      </c>
      <c r="E40" s="6">
        <f>IFERROR(COUNTIFS(Raw!C2:C166,"multilingual_edge",Raw!J2:J166,TRUE)/COUNTIF(Raw!C2:C166,"multilingual_edge"),"")</f>
        <v/>
      </c>
      <c r="F40" s="6">
        <f>IFERROR(AVERAGEIFS(Raw!M2:M166,Raw!C2:C166,"multilingual_edge"),"")</f>
        <v/>
      </c>
      <c r="G40" s="6">
        <f>IFERROR(AVERAGEIFS(Raw!N2:N166,Raw!C2:C166,"multilingual_edge"),"")</f>
        <v/>
      </c>
    </row>
    <row r="41">
      <c r="A41" s="5" t="inlineStr">
        <is>
          <t>property_ambiguity</t>
        </is>
      </c>
      <c r="B41" s="5">
        <f>COUNTIF(Raw!C2:C166,"property_ambiguity")</f>
        <v/>
      </c>
      <c r="C41" s="6">
        <f>IFERROR(COUNTIFS(Raw!C2:C166,"property_ambiguity",Raw!I2:I166,TRUE)/COUNTIF(Raw!C2:C166,"property_ambiguity"),"")</f>
        <v/>
      </c>
      <c r="D41" s="6">
        <f>IFERROR(COUNTIFS(Raw!C2:C166,"property_ambiguity",Raw!K2:K166,"success")/COUNTIF(Raw!C2:C166,"property_ambiguity"),"")</f>
        <v/>
      </c>
      <c r="E41" s="6">
        <f>IFERROR(COUNTIFS(Raw!C2:C166,"property_ambiguity",Raw!J2:J166,TRUE)/COUNTIF(Raw!C2:C166,"property_ambiguity"),"")</f>
        <v/>
      </c>
      <c r="F41" s="6">
        <f>IFERROR(AVERAGEIFS(Raw!M2:M166,Raw!C2:C166,"property_ambiguity"),"")</f>
        <v/>
      </c>
      <c r="G41" s="6">
        <f>IFERROR(AVERAGEIFS(Raw!N2:N166,Raw!C2:C166,"property_ambiguity"),"")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single_kg1_010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42.52</v>
      </c>
    </row>
    <row r="3">
      <c r="A3" s="5" t="inlineStr">
        <is>
          <t>single_kg1_010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17.01</v>
      </c>
    </row>
    <row r="4">
      <c r="A4" s="5" t="inlineStr">
        <is>
          <t>single_kg1_010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17.47</v>
      </c>
    </row>
    <row r="5">
      <c r="A5" s="5" t="inlineStr">
        <is>
          <t>single_kg1_010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21.1</v>
      </c>
    </row>
    <row r="6">
      <c r="A6" s="5" t="inlineStr">
        <is>
          <t>single_kg1_010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19.05</v>
      </c>
    </row>
    <row r="7">
      <c r="A7" s="5" t="inlineStr">
        <is>
          <t>single_kg1_010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19.54</v>
      </c>
    </row>
    <row r="8">
      <c r="A8" s="5" t="inlineStr">
        <is>
          <t>single_kg1_010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17.63</v>
      </c>
    </row>
    <row r="9">
      <c r="A9" s="5" t="inlineStr">
        <is>
          <t>single_kg1_010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17.65</v>
      </c>
    </row>
    <row r="10">
      <c r="A10" s="5" t="inlineStr">
        <is>
          <t>single_kg1_010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18.36</v>
      </c>
    </row>
    <row r="11">
      <c r="A11" s="5" t="inlineStr">
        <is>
          <t>single_kg1_011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0</v>
      </c>
      <c r="N11" s="5" t="n">
        <v>0</v>
      </c>
      <c r="O11" s="5" t="n">
        <v>21.45</v>
      </c>
    </row>
    <row r="12">
      <c r="A12" s="5" t="inlineStr">
        <is>
          <t>single_kg1_011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0</v>
      </c>
      <c r="N12" s="5" t="n">
        <v>0</v>
      </c>
      <c r="O12" s="5" t="n">
        <v>17.1</v>
      </c>
    </row>
    <row r="13">
      <c r="A13" s="5" t="inlineStr">
        <is>
          <t>single_kg1_011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0</v>
      </c>
      <c r="N13" s="5" t="n">
        <v>0</v>
      </c>
      <c r="O13" s="5" t="n">
        <v>18.06</v>
      </c>
    </row>
    <row r="14">
      <c r="A14" s="5" t="inlineStr">
        <is>
          <t>single_kg1_011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0</v>
      </c>
      <c r="N14" s="5" t="n">
        <v>0</v>
      </c>
      <c r="O14" s="5" t="n">
        <v>32.6</v>
      </c>
    </row>
    <row r="15">
      <c r="A15" s="5" t="inlineStr">
        <is>
          <t>single_kg1_011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0</v>
      </c>
      <c r="N15" s="5" t="n">
        <v>0</v>
      </c>
      <c r="O15" s="5" t="n">
        <v>29.87</v>
      </c>
    </row>
    <row r="16">
      <c r="A16" s="5" t="inlineStr">
        <is>
          <t>single_kg1_011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0</v>
      </c>
      <c r="N16" s="5" t="n">
        <v>0</v>
      </c>
      <c r="O16" s="5" t="n">
        <v>30.33</v>
      </c>
    </row>
    <row r="17">
      <c r="A17" s="5" t="inlineStr">
        <is>
          <t>single_kg1_011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0</v>
      </c>
      <c r="K17" s="5" t="inlineStr">
        <is>
          <t>mapping_failure</t>
        </is>
      </c>
      <c r="L17" s="5" t="n"/>
      <c r="M17" s="5" t="n">
        <v>0</v>
      </c>
      <c r="N17" s="5" t="n">
        <v>0</v>
      </c>
      <c r="O17" s="5" t="n">
        <v>35.8</v>
      </c>
    </row>
    <row r="18">
      <c r="A18" s="5" t="inlineStr">
        <is>
          <t>single_kg1_011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0</v>
      </c>
      <c r="K18" s="5" t="inlineStr">
        <is>
          <t>mapping_failure</t>
        </is>
      </c>
      <c r="L18" s="5" t="n"/>
      <c r="M18" s="5" t="n">
        <v>0</v>
      </c>
      <c r="N18" s="5" t="n">
        <v>0</v>
      </c>
      <c r="O18" s="5" t="n">
        <v>14.28</v>
      </c>
    </row>
    <row r="19">
      <c r="A19" s="5" t="inlineStr">
        <is>
          <t>single_kg1_011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0</v>
      </c>
      <c r="K19" s="5" t="inlineStr">
        <is>
          <t>mapping_failure</t>
        </is>
      </c>
      <c r="L19" s="5" t="n"/>
      <c r="M19" s="5" t="n">
        <v>0</v>
      </c>
      <c r="N19" s="5" t="n">
        <v>0</v>
      </c>
      <c r="O19" s="5" t="n">
        <v>14.2</v>
      </c>
    </row>
    <row r="20">
      <c r="A20" s="5" t="inlineStr">
        <is>
          <t>single_kg1_012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0</v>
      </c>
      <c r="N20" s="5" t="n">
        <v>0.4</v>
      </c>
      <c r="O20" s="5" t="n">
        <v>26.99</v>
      </c>
    </row>
    <row r="21">
      <c r="A21" s="5" t="inlineStr">
        <is>
          <t>single_kg1_012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0</v>
      </c>
      <c r="N21" s="5" t="n">
        <v>0.4</v>
      </c>
      <c r="O21" s="5" t="n">
        <v>21.63</v>
      </c>
    </row>
    <row r="22">
      <c r="A22" s="5" t="inlineStr">
        <is>
          <t>single_kg1_012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0</v>
      </c>
      <c r="N22" s="5" t="n">
        <v>0.4</v>
      </c>
      <c r="O22" s="5" t="n">
        <v>22.4</v>
      </c>
    </row>
    <row r="23">
      <c r="A23" s="5" t="inlineStr">
        <is>
          <t>single_kg1_012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0</v>
      </c>
      <c r="N23" s="5" t="n">
        <v>0.4</v>
      </c>
      <c r="O23" s="5" t="n">
        <v>23.4</v>
      </c>
    </row>
    <row r="24">
      <c r="A24" s="5" t="inlineStr">
        <is>
          <t>single_kg1_012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0</v>
      </c>
      <c r="N24" s="5" t="n">
        <v>0.4</v>
      </c>
      <c r="O24" s="5" t="n">
        <v>24.55</v>
      </c>
    </row>
    <row r="25">
      <c r="A25" s="5" t="inlineStr">
        <is>
          <t>single_kg1_012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0</v>
      </c>
      <c r="N25" s="5" t="n">
        <v>0.4</v>
      </c>
      <c r="O25" s="5" t="n">
        <v>25.33</v>
      </c>
    </row>
    <row r="26">
      <c r="A26" s="5" t="inlineStr">
        <is>
          <t>single_kg1_012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0</v>
      </c>
      <c r="N26" s="5" t="n">
        <v>0.4</v>
      </c>
      <c r="O26" s="5" t="n">
        <v>24.93</v>
      </c>
    </row>
    <row r="27">
      <c r="A27" s="5" t="inlineStr">
        <is>
          <t>single_kg1_012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0</v>
      </c>
      <c r="N27" s="5" t="n">
        <v>0.4</v>
      </c>
      <c r="O27" s="5" t="n">
        <v>23.96</v>
      </c>
    </row>
    <row r="28">
      <c r="A28" s="5" t="inlineStr">
        <is>
          <t>single_kg1_012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0</v>
      </c>
      <c r="N28" s="5" t="n">
        <v>0.4</v>
      </c>
      <c r="O28" s="5" t="n">
        <v>24.58</v>
      </c>
    </row>
    <row r="29">
      <c r="A29" s="5" t="inlineStr">
        <is>
          <t>single_kg1_013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1</v>
      </c>
      <c r="N29" s="5" t="n">
        <v>1</v>
      </c>
      <c r="O29" s="5" t="n">
        <v>17.93</v>
      </c>
    </row>
    <row r="30">
      <c r="A30" s="5" t="inlineStr">
        <is>
          <t>single_kg1_013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1</v>
      </c>
      <c r="N30" s="5" t="n">
        <v>1</v>
      </c>
      <c r="O30" s="5" t="n">
        <v>15.81</v>
      </c>
    </row>
    <row r="31">
      <c r="A31" s="5" t="inlineStr">
        <is>
          <t>single_kg1_013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1</v>
      </c>
      <c r="N31" s="5" t="n">
        <v>1</v>
      </c>
      <c r="O31" s="5" t="n">
        <v>16.28</v>
      </c>
    </row>
    <row r="32">
      <c r="A32" s="5" t="inlineStr">
        <is>
          <t>single_kg1_013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1</v>
      </c>
      <c r="N32" s="5" t="n">
        <v>1</v>
      </c>
      <c r="O32" s="5" t="n">
        <v>17.32</v>
      </c>
    </row>
    <row r="33">
      <c r="A33" s="5" t="inlineStr">
        <is>
          <t>single_kg1_013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1</v>
      </c>
      <c r="N33" s="5" t="n">
        <v>1</v>
      </c>
      <c r="O33" s="5" t="n">
        <v>15.35</v>
      </c>
    </row>
    <row r="34">
      <c r="A34" s="5" t="inlineStr">
        <is>
          <t>single_kg1_013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1</v>
      </c>
      <c r="N34" s="5" t="n">
        <v>1</v>
      </c>
      <c r="O34" s="5" t="n">
        <v>16.04</v>
      </c>
    </row>
    <row r="35">
      <c r="A35" s="5" t="inlineStr">
        <is>
          <t>single_kg1_013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1</v>
      </c>
      <c r="N35" s="5" t="n">
        <v>1</v>
      </c>
      <c r="O35" s="5" t="n">
        <v>20.32</v>
      </c>
    </row>
    <row r="36">
      <c r="A36" s="5" t="inlineStr">
        <is>
          <t>single_kg1_013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1</v>
      </c>
      <c r="N36" s="5" t="n">
        <v>1</v>
      </c>
      <c r="O36" s="5" t="n">
        <v>18.95</v>
      </c>
    </row>
    <row r="37">
      <c r="A37" s="5" t="inlineStr">
        <is>
          <t>single_kg1_013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1</v>
      </c>
      <c r="N37" s="5" t="n">
        <v>1</v>
      </c>
      <c r="O37" s="5" t="n">
        <v>19.71</v>
      </c>
    </row>
    <row r="38">
      <c r="A38" s="5" t="inlineStr">
        <is>
          <t>single_kg2_010</t>
        </is>
      </c>
      <c r="B38" s="5" t="n">
        <v>1</v>
      </c>
      <c r="C38" s="5" t="inlineStr">
        <is>
          <t>single_kg2</t>
        </is>
      </c>
      <c r="D38" s="5" t="inlineStr">
        <is>
          <t>airports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single_kg2</t>
        </is>
      </c>
      <c r="H38" s="5" t="inlineStr">
        <is>
          <t>single_kg2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0</v>
      </c>
      <c r="N38" s="5" t="n">
        <v>0</v>
      </c>
      <c r="O38" s="5" t="n">
        <v>27.71</v>
      </c>
    </row>
    <row r="39">
      <c r="A39" s="5" t="inlineStr">
        <is>
          <t>single_kg2_010</t>
        </is>
      </c>
      <c r="B39" s="5" t="n">
        <v>1</v>
      </c>
      <c r="C39" s="5" t="inlineStr">
        <is>
          <t>single_kg2</t>
        </is>
      </c>
      <c r="D39" s="5" t="inlineStr">
        <is>
          <t>airports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single_kg2</t>
        </is>
      </c>
      <c r="H39" s="5" t="inlineStr">
        <is>
          <t>single_kg2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0</v>
      </c>
      <c r="N39" s="5" t="n">
        <v>0</v>
      </c>
      <c r="O39" s="5" t="n">
        <v>22.06</v>
      </c>
    </row>
    <row r="40">
      <c r="A40" s="5" t="inlineStr">
        <is>
          <t>single_kg2_010</t>
        </is>
      </c>
      <c r="B40" s="5" t="n">
        <v>1</v>
      </c>
      <c r="C40" s="5" t="inlineStr">
        <is>
          <t>single_kg2</t>
        </is>
      </c>
      <c r="D40" s="5" t="inlineStr">
        <is>
          <t>airports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single_kg2</t>
        </is>
      </c>
      <c r="H40" s="5" t="inlineStr">
        <is>
          <t>single_kg2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0</v>
      </c>
      <c r="N40" s="5" t="n">
        <v>0</v>
      </c>
      <c r="O40" s="5" t="n">
        <v>23.3</v>
      </c>
    </row>
    <row r="41">
      <c r="A41" s="5" t="inlineStr">
        <is>
          <t>single_kg2_010</t>
        </is>
      </c>
      <c r="B41" s="5" t="n">
        <v>1</v>
      </c>
      <c r="C41" s="5" t="inlineStr">
        <is>
          <t>single_kg2</t>
        </is>
      </c>
      <c r="D41" s="5" t="inlineStr">
        <is>
          <t>airports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single_kg2</t>
        </is>
      </c>
      <c r="H41" s="5" t="inlineStr">
        <is>
          <t>single_kg2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0</v>
      </c>
      <c r="N41" s="5" t="n">
        <v>0</v>
      </c>
      <c r="O41" s="5" t="n">
        <v>25.56</v>
      </c>
    </row>
    <row r="42">
      <c r="A42" s="5" t="inlineStr">
        <is>
          <t>single_kg2_010</t>
        </is>
      </c>
      <c r="B42" s="5" t="n">
        <v>1</v>
      </c>
      <c r="C42" s="5" t="inlineStr">
        <is>
          <t>single_kg2</t>
        </is>
      </c>
      <c r="D42" s="5" t="inlineStr">
        <is>
          <t>airports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single_kg2</t>
        </is>
      </c>
      <c r="H42" s="5" t="inlineStr">
        <is>
          <t>single_kg2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0</v>
      </c>
      <c r="N42" s="5" t="n">
        <v>0</v>
      </c>
      <c r="O42" s="5" t="n">
        <v>26.87</v>
      </c>
    </row>
    <row r="43">
      <c r="A43" s="5" t="inlineStr">
        <is>
          <t>single_kg2_010</t>
        </is>
      </c>
      <c r="B43" s="5" t="n">
        <v>1</v>
      </c>
      <c r="C43" s="5" t="inlineStr">
        <is>
          <t>single_kg2</t>
        </is>
      </c>
      <c r="D43" s="5" t="inlineStr">
        <is>
          <t>airports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single_kg2</t>
        </is>
      </c>
      <c r="H43" s="5" t="inlineStr">
        <is>
          <t>single_kg2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0</v>
      </c>
      <c r="N43" s="5" t="n">
        <v>0</v>
      </c>
      <c r="O43" s="5" t="n">
        <v>27.35</v>
      </c>
    </row>
    <row r="44">
      <c r="A44" s="5" t="inlineStr">
        <is>
          <t>single_kg2_010</t>
        </is>
      </c>
      <c r="B44" s="5" t="n">
        <v>1</v>
      </c>
      <c r="C44" s="5" t="inlineStr">
        <is>
          <t>single_kg2</t>
        </is>
      </c>
      <c r="D44" s="5" t="inlineStr">
        <is>
          <t>airports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single_kg2</t>
        </is>
      </c>
      <c r="H44" s="5" t="inlineStr">
        <is>
          <t>single_kg2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0</v>
      </c>
      <c r="N44" s="5" t="n">
        <v>0</v>
      </c>
      <c r="O44" s="5" t="n">
        <v>26.67</v>
      </c>
    </row>
    <row r="45">
      <c r="A45" s="5" t="inlineStr">
        <is>
          <t>single_kg2_010</t>
        </is>
      </c>
      <c r="B45" s="5" t="n">
        <v>1</v>
      </c>
      <c r="C45" s="5" t="inlineStr">
        <is>
          <t>single_kg2</t>
        </is>
      </c>
      <c r="D45" s="5" t="inlineStr">
        <is>
          <t>airports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single_kg2</t>
        </is>
      </c>
      <c r="H45" s="5" t="inlineStr">
        <is>
          <t>single_kg2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0</v>
      </c>
      <c r="N45" s="5" t="n">
        <v>0</v>
      </c>
      <c r="O45" s="5" t="n">
        <v>28.89</v>
      </c>
    </row>
    <row r="46">
      <c r="A46" s="5" t="inlineStr">
        <is>
          <t>single_kg2_010</t>
        </is>
      </c>
      <c r="B46" s="5" t="n">
        <v>1</v>
      </c>
      <c r="C46" s="5" t="inlineStr">
        <is>
          <t>single_kg2</t>
        </is>
      </c>
      <c r="D46" s="5" t="inlineStr">
        <is>
          <t>airports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single_kg2</t>
        </is>
      </c>
      <c r="H46" s="5" t="inlineStr">
        <is>
          <t>single_kg2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0</v>
      </c>
      <c r="N46" s="5" t="n">
        <v>0</v>
      </c>
      <c r="O46" s="5" t="n">
        <v>27.82</v>
      </c>
    </row>
    <row r="47">
      <c r="A47" s="5" t="inlineStr">
        <is>
          <t>single_kg2_011</t>
        </is>
      </c>
      <c r="B47" s="5" t="n">
        <v>1</v>
      </c>
      <c r="C47" s="5" t="inlineStr">
        <is>
          <t>single_kg2</t>
        </is>
      </c>
      <c r="D47" s="5" t="inlineStr">
        <is>
          <t>airports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single_kg2</t>
        </is>
      </c>
      <c r="H47" s="5" t="inlineStr">
        <is>
          <t>single_kg2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23.28</v>
      </c>
    </row>
    <row r="48">
      <c r="A48" s="5" t="inlineStr">
        <is>
          <t>single_kg2_011</t>
        </is>
      </c>
      <c r="B48" s="5" t="n">
        <v>1</v>
      </c>
      <c r="C48" s="5" t="inlineStr">
        <is>
          <t>single_kg2</t>
        </is>
      </c>
      <c r="D48" s="5" t="inlineStr">
        <is>
          <t>airports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single_kg2</t>
        </is>
      </c>
      <c r="H48" s="5" t="inlineStr">
        <is>
          <t>single_kg2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17.37</v>
      </c>
    </row>
    <row r="49">
      <c r="A49" s="5" t="inlineStr">
        <is>
          <t>single_kg2_011</t>
        </is>
      </c>
      <c r="B49" s="5" t="n">
        <v>1</v>
      </c>
      <c r="C49" s="5" t="inlineStr">
        <is>
          <t>single_kg2</t>
        </is>
      </c>
      <c r="D49" s="5" t="inlineStr">
        <is>
          <t>airports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single_kg2</t>
        </is>
      </c>
      <c r="H49" s="5" t="inlineStr">
        <is>
          <t>single_kg2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18.45</v>
      </c>
    </row>
    <row r="50">
      <c r="A50" s="5" t="inlineStr">
        <is>
          <t>single_kg2_011</t>
        </is>
      </c>
      <c r="B50" s="5" t="n">
        <v>1</v>
      </c>
      <c r="C50" s="5" t="inlineStr">
        <is>
          <t>single_kg2</t>
        </is>
      </c>
      <c r="D50" s="5" t="inlineStr">
        <is>
          <t>airports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single_kg2</t>
        </is>
      </c>
      <c r="H50" s="5" t="inlineStr">
        <is>
          <t>single_kg2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26.54</v>
      </c>
    </row>
    <row r="51">
      <c r="A51" s="5" t="inlineStr">
        <is>
          <t>single_kg2_011</t>
        </is>
      </c>
      <c r="B51" s="5" t="n">
        <v>1</v>
      </c>
      <c r="C51" s="5" t="inlineStr">
        <is>
          <t>single_kg2</t>
        </is>
      </c>
      <c r="D51" s="5" t="inlineStr">
        <is>
          <t>airports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single_kg2</t>
        </is>
      </c>
      <c r="H51" s="5" t="inlineStr">
        <is>
          <t>single_kg2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19.78</v>
      </c>
    </row>
    <row r="52">
      <c r="A52" s="5" t="inlineStr">
        <is>
          <t>single_kg2_011</t>
        </is>
      </c>
      <c r="B52" s="5" t="n">
        <v>1</v>
      </c>
      <c r="C52" s="5" t="inlineStr">
        <is>
          <t>single_kg2</t>
        </is>
      </c>
      <c r="D52" s="5" t="inlineStr">
        <is>
          <t>airports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single_kg2</t>
        </is>
      </c>
      <c r="H52" s="5" t="inlineStr">
        <is>
          <t>single_kg2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21.19</v>
      </c>
    </row>
    <row r="53">
      <c r="A53" s="5" t="inlineStr">
        <is>
          <t>single_kg2_011</t>
        </is>
      </c>
      <c r="B53" s="5" t="n">
        <v>1</v>
      </c>
      <c r="C53" s="5" t="inlineStr">
        <is>
          <t>single_kg2</t>
        </is>
      </c>
      <c r="D53" s="5" t="inlineStr">
        <is>
          <t>airports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single_kg2</t>
        </is>
      </c>
      <c r="H53" s="5" t="inlineStr">
        <is>
          <t>ask_query</t>
        </is>
      </c>
      <c r="I53" s="5" t="b">
        <v>0</v>
      </c>
      <c r="J53" s="5" t="b">
        <v>0</v>
      </c>
      <c r="K53" s="5" t="inlineStr">
        <is>
          <t>mapping_failure</t>
        </is>
      </c>
      <c r="L53" s="5" t="n"/>
      <c r="M53" s="5" t="n">
        <v>0</v>
      </c>
      <c r="N53" s="5" t="n">
        <v>0</v>
      </c>
      <c r="O53" s="5" t="n">
        <v>7.82</v>
      </c>
    </row>
    <row r="54">
      <c r="A54" s="5" t="inlineStr">
        <is>
          <t>single_kg2_011</t>
        </is>
      </c>
      <c r="B54" s="5" t="n">
        <v>1</v>
      </c>
      <c r="C54" s="5" t="inlineStr">
        <is>
          <t>single_kg2</t>
        </is>
      </c>
      <c r="D54" s="5" t="inlineStr">
        <is>
          <t>airports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single_kg2</t>
        </is>
      </c>
      <c r="H54" s="5" t="inlineStr">
        <is>
          <t>ask_query</t>
        </is>
      </c>
      <c r="I54" s="5" t="b">
        <v>0</v>
      </c>
      <c r="J54" s="5" t="b">
        <v>0</v>
      </c>
      <c r="K54" s="5" t="inlineStr">
        <is>
          <t>mapping_failure</t>
        </is>
      </c>
      <c r="L54" s="5" t="n"/>
      <c r="M54" s="5" t="n">
        <v>0</v>
      </c>
      <c r="N54" s="5" t="n">
        <v>0</v>
      </c>
      <c r="O54" s="5" t="n">
        <v>7.32</v>
      </c>
    </row>
    <row r="55">
      <c r="A55" s="5" t="inlineStr">
        <is>
          <t>single_kg2_011</t>
        </is>
      </c>
      <c r="B55" s="5" t="n">
        <v>1</v>
      </c>
      <c r="C55" s="5" t="inlineStr">
        <is>
          <t>single_kg2</t>
        </is>
      </c>
      <c r="D55" s="5" t="inlineStr">
        <is>
          <t>airports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single_kg2</t>
        </is>
      </c>
      <c r="H55" s="5" t="inlineStr">
        <is>
          <t>ask_query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n"/>
      <c r="M55" s="5" t="n">
        <v>0</v>
      </c>
      <c r="N55" s="5" t="n">
        <v>0</v>
      </c>
      <c r="O55" s="5" t="n">
        <v>7.7</v>
      </c>
    </row>
    <row r="56">
      <c r="A56" s="5" t="inlineStr">
        <is>
          <t>single_kg2_012</t>
        </is>
      </c>
      <c r="B56" s="5" t="n">
        <v>1</v>
      </c>
      <c r="C56" s="5" t="inlineStr">
        <is>
          <t>single_kg2</t>
        </is>
      </c>
      <c r="D56" s="5" t="inlineStr">
        <is>
          <t>airports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single_kg2</t>
        </is>
      </c>
      <c r="H56" s="5" t="inlineStr">
        <is>
          <t>single_kg2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21.17</v>
      </c>
    </row>
    <row r="57">
      <c r="A57" s="5" t="inlineStr">
        <is>
          <t>single_kg2_012</t>
        </is>
      </c>
      <c r="B57" s="5" t="n">
        <v>1</v>
      </c>
      <c r="C57" s="5" t="inlineStr">
        <is>
          <t>single_kg2</t>
        </is>
      </c>
      <c r="D57" s="5" t="inlineStr">
        <is>
          <t>airports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single_kg2</t>
        </is>
      </c>
      <c r="H57" s="5" t="inlineStr">
        <is>
          <t>single_kg2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15.9</v>
      </c>
    </row>
    <row r="58">
      <c r="A58" s="5" t="inlineStr">
        <is>
          <t>single_kg2_012</t>
        </is>
      </c>
      <c r="B58" s="5" t="n">
        <v>1</v>
      </c>
      <c r="C58" s="5" t="inlineStr">
        <is>
          <t>single_kg2</t>
        </is>
      </c>
      <c r="D58" s="5" t="inlineStr">
        <is>
          <t>airports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single_kg2</t>
        </is>
      </c>
      <c r="H58" s="5" t="inlineStr">
        <is>
          <t>single_kg2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17.34</v>
      </c>
    </row>
    <row r="59">
      <c r="A59" s="5" t="inlineStr">
        <is>
          <t>single_kg2_012</t>
        </is>
      </c>
      <c r="B59" s="5" t="n">
        <v>1</v>
      </c>
      <c r="C59" s="5" t="inlineStr">
        <is>
          <t>single_kg2</t>
        </is>
      </c>
      <c r="D59" s="5" t="inlineStr">
        <is>
          <t>airports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single_kg2</t>
        </is>
      </c>
      <c r="H59" s="5" t="inlineStr">
        <is>
          <t>single_kg2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24.58</v>
      </c>
    </row>
    <row r="60">
      <c r="A60" s="5" t="inlineStr">
        <is>
          <t>single_kg2_012</t>
        </is>
      </c>
      <c r="B60" s="5" t="n">
        <v>1</v>
      </c>
      <c r="C60" s="5" t="inlineStr">
        <is>
          <t>single_kg2</t>
        </is>
      </c>
      <c r="D60" s="5" t="inlineStr">
        <is>
          <t>airports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single_kg2</t>
        </is>
      </c>
      <c r="H60" s="5" t="inlineStr">
        <is>
          <t>single_kg2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20.4</v>
      </c>
    </row>
    <row r="61">
      <c r="A61" s="5" t="inlineStr">
        <is>
          <t>single_kg2_012</t>
        </is>
      </c>
      <c r="B61" s="5" t="n">
        <v>1</v>
      </c>
      <c r="C61" s="5" t="inlineStr">
        <is>
          <t>single_kg2</t>
        </is>
      </c>
      <c r="D61" s="5" t="inlineStr">
        <is>
          <t>airports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single_kg2</t>
        </is>
      </c>
      <c r="H61" s="5" t="inlineStr">
        <is>
          <t>single_kg2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20.38</v>
      </c>
    </row>
    <row r="62">
      <c r="A62" s="5" t="inlineStr">
        <is>
          <t>single_kg2_012</t>
        </is>
      </c>
      <c r="B62" s="5" t="n">
        <v>1</v>
      </c>
      <c r="C62" s="5" t="inlineStr">
        <is>
          <t>single_kg2</t>
        </is>
      </c>
      <c r="D62" s="5" t="inlineStr">
        <is>
          <t>airports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single_kg2</t>
        </is>
      </c>
      <c r="H62" s="5" t="inlineStr">
        <is>
          <t>template</t>
        </is>
      </c>
      <c r="I62" s="5" t="b">
        <v>0</v>
      </c>
      <c r="J62" s="5" t="b">
        <v>1</v>
      </c>
      <c r="K62" s="5" t="inlineStr">
        <is>
          <t>success</t>
        </is>
      </c>
      <c r="L62" s="5" t="n"/>
      <c r="M62" s="5" t="n">
        <v>0</v>
      </c>
      <c r="N62" s="5" t="n">
        <v>0</v>
      </c>
      <c r="O62" s="5" t="n">
        <v>17.01</v>
      </c>
    </row>
    <row r="63">
      <c r="A63" s="5" t="inlineStr">
        <is>
          <t>single_kg2_012</t>
        </is>
      </c>
      <c r="B63" s="5" t="n">
        <v>1</v>
      </c>
      <c r="C63" s="5" t="inlineStr">
        <is>
          <t>single_kg2</t>
        </is>
      </c>
      <c r="D63" s="5" t="inlineStr">
        <is>
          <t>airports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single_kg2</t>
        </is>
      </c>
      <c r="H63" s="5" t="inlineStr">
        <is>
          <t>template</t>
        </is>
      </c>
      <c r="I63" s="5" t="b">
        <v>0</v>
      </c>
      <c r="J63" s="5" t="b">
        <v>1</v>
      </c>
      <c r="K63" s="5" t="inlineStr">
        <is>
          <t>success</t>
        </is>
      </c>
      <c r="L63" s="5" t="n"/>
      <c r="M63" s="5" t="n">
        <v>0</v>
      </c>
      <c r="N63" s="5" t="n">
        <v>0</v>
      </c>
      <c r="O63" s="5" t="n">
        <v>11.68</v>
      </c>
    </row>
    <row r="64">
      <c r="A64" s="5" t="inlineStr">
        <is>
          <t>single_kg2_012</t>
        </is>
      </c>
      <c r="B64" s="5" t="n">
        <v>1</v>
      </c>
      <c r="C64" s="5" t="inlineStr">
        <is>
          <t>single_kg2</t>
        </is>
      </c>
      <c r="D64" s="5" t="inlineStr">
        <is>
          <t>airports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single_kg2</t>
        </is>
      </c>
      <c r="H64" s="5" t="inlineStr">
        <is>
          <t>template</t>
        </is>
      </c>
      <c r="I64" s="5" t="b">
        <v>0</v>
      </c>
      <c r="J64" s="5" t="b">
        <v>1</v>
      </c>
      <c r="K64" s="5" t="inlineStr">
        <is>
          <t>success</t>
        </is>
      </c>
      <c r="L64" s="5" t="n"/>
      <c r="M64" s="5" t="n">
        <v>0</v>
      </c>
      <c r="N64" s="5" t="n">
        <v>0</v>
      </c>
      <c r="O64" s="5" t="n">
        <v>12.3</v>
      </c>
    </row>
    <row r="65">
      <c r="A65" s="5" t="inlineStr">
        <is>
          <t>single_kg3_005</t>
        </is>
      </c>
      <c r="B65" s="5" t="n">
        <v>1</v>
      </c>
      <c r="C65" s="5" t="inlineStr">
        <is>
          <t>single_kg3</t>
        </is>
      </c>
      <c r="D65" s="5" t="inlineStr">
        <is>
          <t>university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single_kg3</t>
        </is>
      </c>
      <c r="H65" s="5" t="inlineStr">
        <is>
          <t>single_kg3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13.16</v>
      </c>
    </row>
    <row r="66">
      <c r="A66" s="5" t="inlineStr">
        <is>
          <t>single_kg3_005</t>
        </is>
      </c>
      <c r="B66" s="5" t="n">
        <v>1</v>
      </c>
      <c r="C66" s="5" t="inlineStr">
        <is>
          <t>single_kg3</t>
        </is>
      </c>
      <c r="D66" s="5" t="inlineStr">
        <is>
          <t>university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single_kg3</t>
        </is>
      </c>
      <c r="H66" s="5" t="inlineStr">
        <is>
          <t>single_kg3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12.26</v>
      </c>
    </row>
    <row r="67">
      <c r="A67" s="5" t="inlineStr">
        <is>
          <t>single_kg3_005</t>
        </is>
      </c>
      <c r="B67" s="5" t="n">
        <v>1</v>
      </c>
      <c r="C67" s="5" t="inlineStr">
        <is>
          <t>single_kg3</t>
        </is>
      </c>
      <c r="D67" s="5" t="inlineStr">
        <is>
          <t>university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single_kg3</t>
        </is>
      </c>
      <c r="H67" s="5" t="inlineStr">
        <is>
          <t>single_kg3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12.57</v>
      </c>
    </row>
    <row r="68">
      <c r="A68" s="5" t="inlineStr">
        <is>
          <t>single_kg3_005</t>
        </is>
      </c>
      <c r="B68" s="5" t="n">
        <v>1</v>
      </c>
      <c r="C68" s="5" t="inlineStr">
        <is>
          <t>single_kg3</t>
        </is>
      </c>
      <c r="D68" s="5" t="inlineStr">
        <is>
          <t>university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single_kg3</t>
        </is>
      </c>
      <c r="H68" s="5" t="inlineStr">
        <is>
          <t>single_kg3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15.63</v>
      </c>
    </row>
    <row r="69">
      <c r="A69" s="5" t="inlineStr">
        <is>
          <t>single_kg3_005</t>
        </is>
      </c>
      <c r="B69" s="5" t="n">
        <v>1</v>
      </c>
      <c r="C69" s="5" t="inlineStr">
        <is>
          <t>single_kg3</t>
        </is>
      </c>
      <c r="D69" s="5" t="inlineStr">
        <is>
          <t>university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single_kg3</t>
        </is>
      </c>
      <c r="H69" s="5" t="inlineStr">
        <is>
          <t>single_kg3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16.35</v>
      </c>
    </row>
    <row r="70">
      <c r="A70" s="5" t="inlineStr">
        <is>
          <t>single_kg3_005</t>
        </is>
      </c>
      <c r="B70" s="5" t="n">
        <v>1</v>
      </c>
      <c r="C70" s="5" t="inlineStr">
        <is>
          <t>single_kg3</t>
        </is>
      </c>
      <c r="D70" s="5" t="inlineStr">
        <is>
          <t>university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single_kg3</t>
        </is>
      </c>
      <c r="H70" s="5" t="inlineStr">
        <is>
          <t>single_kg3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15.25</v>
      </c>
    </row>
    <row r="71">
      <c r="A71" s="5" t="inlineStr">
        <is>
          <t>single_kg3_005</t>
        </is>
      </c>
      <c r="B71" s="5" t="n">
        <v>1</v>
      </c>
      <c r="C71" s="5" t="inlineStr">
        <is>
          <t>single_kg3</t>
        </is>
      </c>
      <c r="D71" s="5" t="inlineStr">
        <is>
          <t>university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single_kg3</t>
        </is>
      </c>
      <c r="H71" s="5" t="inlineStr">
        <is>
          <t>single_kg3</t>
        </is>
      </c>
      <c r="I71" s="5" t="b">
        <v>1</v>
      </c>
      <c r="J71" s="5" t="b">
        <v>1</v>
      </c>
      <c r="K71" s="5" t="inlineStr">
        <is>
          <t>no_results</t>
        </is>
      </c>
      <c r="L71" s="5" t="n"/>
      <c r="M71" s="5" t="n">
        <v>0</v>
      </c>
      <c r="N71" s="5" t="n">
        <v>0</v>
      </c>
      <c r="O71" s="5" t="n">
        <v>20.5</v>
      </c>
    </row>
    <row r="72">
      <c r="A72" s="5" t="inlineStr">
        <is>
          <t>single_kg3_005</t>
        </is>
      </c>
      <c r="B72" s="5" t="n">
        <v>1</v>
      </c>
      <c r="C72" s="5" t="inlineStr">
        <is>
          <t>single_kg3</t>
        </is>
      </c>
      <c r="D72" s="5" t="inlineStr">
        <is>
          <t>university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single_kg3</t>
        </is>
      </c>
      <c r="H72" s="5" t="inlineStr">
        <is>
          <t>single_kg3</t>
        </is>
      </c>
      <c r="I72" s="5" t="b">
        <v>1</v>
      </c>
      <c r="J72" s="5" t="b">
        <v>1</v>
      </c>
      <c r="K72" s="5" t="inlineStr">
        <is>
          <t>no_results</t>
        </is>
      </c>
      <c r="L72" s="5" t="n"/>
      <c r="M72" s="5" t="n">
        <v>0</v>
      </c>
      <c r="N72" s="5" t="n">
        <v>0</v>
      </c>
      <c r="O72" s="5" t="n">
        <v>15.49</v>
      </c>
    </row>
    <row r="73">
      <c r="A73" s="5" t="inlineStr">
        <is>
          <t>single_kg3_005</t>
        </is>
      </c>
      <c r="B73" s="5" t="n">
        <v>1</v>
      </c>
      <c r="C73" s="5" t="inlineStr">
        <is>
          <t>single_kg3</t>
        </is>
      </c>
      <c r="D73" s="5" t="inlineStr">
        <is>
          <t>university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single_kg3</t>
        </is>
      </c>
      <c r="H73" s="5" t="inlineStr">
        <is>
          <t>single_kg3</t>
        </is>
      </c>
      <c r="I73" s="5" t="b">
        <v>1</v>
      </c>
      <c r="J73" s="5" t="b">
        <v>1</v>
      </c>
      <c r="K73" s="5" t="inlineStr">
        <is>
          <t>no_results</t>
        </is>
      </c>
      <c r="L73" s="5" t="n"/>
      <c r="M73" s="5" t="n">
        <v>0</v>
      </c>
      <c r="N73" s="5" t="n">
        <v>0</v>
      </c>
      <c r="O73" s="5" t="n">
        <v>15.56</v>
      </c>
    </row>
    <row r="74">
      <c r="A74" s="5" t="inlineStr">
        <is>
          <t>single_kg3_006</t>
        </is>
      </c>
      <c r="B74" s="5" t="n">
        <v>1</v>
      </c>
      <c r="C74" s="5" t="inlineStr">
        <is>
          <t>single_kg3</t>
        </is>
      </c>
      <c r="D74" s="5" t="inlineStr">
        <is>
          <t>university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single_kg3</t>
        </is>
      </c>
      <c r="H74" s="5" t="inlineStr">
        <is>
          <t>single_kg3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20.7</v>
      </c>
    </row>
    <row r="75">
      <c r="A75" s="5" t="inlineStr">
        <is>
          <t>single_kg3_006</t>
        </is>
      </c>
      <c r="B75" s="5" t="n">
        <v>1</v>
      </c>
      <c r="C75" s="5" t="inlineStr">
        <is>
          <t>single_kg3</t>
        </is>
      </c>
      <c r="D75" s="5" t="inlineStr">
        <is>
          <t>university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single_kg3</t>
        </is>
      </c>
      <c r="H75" s="5" t="inlineStr">
        <is>
          <t>single_kg3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17.16</v>
      </c>
    </row>
    <row r="76">
      <c r="A76" s="5" t="inlineStr">
        <is>
          <t>single_kg3_006</t>
        </is>
      </c>
      <c r="B76" s="5" t="n">
        <v>1</v>
      </c>
      <c r="C76" s="5" t="inlineStr">
        <is>
          <t>single_kg3</t>
        </is>
      </c>
      <c r="D76" s="5" t="inlineStr">
        <is>
          <t>university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single_kg3</t>
        </is>
      </c>
      <c r="H76" s="5" t="inlineStr">
        <is>
          <t>single_kg3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17.55</v>
      </c>
    </row>
    <row r="77">
      <c r="A77" s="5" t="inlineStr">
        <is>
          <t>single_kg3_006</t>
        </is>
      </c>
      <c r="B77" s="5" t="n">
        <v>1</v>
      </c>
      <c r="C77" s="5" t="inlineStr">
        <is>
          <t>single_kg3</t>
        </is>
      </c>
      <c r="D77" s="5" t="inlineStr">
        <is>
          <t>university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single_kg3</t>
        </is>
      </c>
      <c r="H77" s="5" t="inlineStr">
        <is>
          <t>ask_query</t>
        </is>
      </c>
      <c r="I77" s="5" t="b">
        <v>0</v>
      </c>
      <c r="J77" s="5" t="b">
        <v>0</v>
      </c>
      <c r="K77" s="5" t="inlineStr">
        <is>
          <t>success</t>
        </is>
      </c>
      <c r="L77" s="5" t="n"/>
      <c r="M77" s="5" t="n">
        <v>0</v>
      </c>
      <c r="N77" s="5" t="n">
        <v>0</v>
      </c>
      <c r="O77" s="5" t="n">
        <v>11.7</v>
      </c>
    </row>
    <row r="78">
      <c r="A78" s="5" t="inlineStr">
        <is>
          <t>single_kg3_006</t>
        </is>
      </c>
      <c r="B78" s="5" t="n">
        <v>1</v>
      </c>
      <c r="C78" s="5" t="inlineStr">
        <is>
          <t>single_kg3</t>
        </is>
      </c>
      <c r="D78" s="5" t="inlineStr">
        <is>
          <t>university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single_kg3</t>
        </is>
      </c>
      <c r="H78" s="5" t="inlineStr">
        <is>
          <t>ask_query</t>
        </is>
      </c>
      <c r="I78" s="5" t="b">
        <v>0</v>
      </c>
      <c r="J78" s="5" t="b">
        <v>0</v>
      </c>
      <c r="K78" s="5" t="inlineStr">
        <is>
          <t>success</t>
        </is>
      </c>
      <c r="L78" s="5" t="n"/>
      <c r="M78" s="5" t="n">
        <v>0</v>
      </c>
      <c r="N78" s="5" t="n">
        <v>0</v>
      </c>
      <c r="O78" s="5" t="n">
        <v>8</v>
      </c>
    </row>
    <row r="79">
      <c r="A79" s="5" t="inlineStr">
        <is>
          <t>single_kg3_006</t>
        </is>
      </c>
      <c r="B79" s="5" t="n">
        <v>1</v>
      </c>
      <c r="C79" s="5" t="inlineStr">
        <is>
          <t>single_kg3</t>
        </is>
      </c>
      <c r="D79" s="5" t="inlineStr">
        <is>
          <t>university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single_kg3</t>
        </is>
      </c>
      <c r="H79" s="5" t="inlineStr">
        <is>
          <t>ask_query</t>
        </is>
      </c>
      <c r="I79" s="5" t="b">
        <v>0</v>
      </c>
      <c r="J79" s="5" t="b">
        <v>0</v>
      </c>
      <c r="K79" s="5" t="inlineStr">
        <is>
          <t>success</t>
        </is>
      </c>
      <c r="L79" s="5" t="n"/>
      <c r="M79" s="5" t="n">
        <v>0</v>
      </c>
      <c r="N79" s="5" t="n">
        <v>0</v>
      </c>
      <c r="O79" s="5" t="n">
        <v>7.81</v>
      </c>
    </row>
    <row r="80">
      <c r="A80" s="5" t="inlineStr">
        <is>
          <t>single_kg3_006</t>
        </is>
      </c>
      <c r="B80" s="5" t="n">
        <v>1</v>
      </c>
      <c r="C80" s="5" t="inlineStr">
        <is>
          <t>single_kg3</t>
        </is>
      </c>
      <c r="D80" s="5" t="inlineStr">
        <is>
          <t>university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single_kg3</t>
        </is>
      </c>
      <c r="H80" s="5" t="inlineStr">
        <is>
          <t>single_kg3</t>
        </is>
      </c>
      <c r="I80" s="5" t="b">
        <v>1</v>
      </c>
      <c r="J80" s="5" t="b">
        <v>0</v>
      </c>
      <c r="K80" s="5" t="inlineStr">
        <is>
          <t>mapping_failure</t>
        </is>
      </c>
      <c r="L80" s="5" t="n"/>
      <c r="M80" s="5" t="n">
        <v>0</v>
      </c>
      <c r="N80" s="5" t="n">
        <v>0</v>
      </c>
      <c r="O80" s="5" t="n">
        <v>5.07</v>
      </c>
    </row>
    <row r="81">
      <c r="A81" s="5" t="inlineStr">
        <is>
          <t>single_kg3_006</t>
        </is>
      </c>
      <c r="B81" s="5" t="n">
        <v>1</v>
      </c>
      <c r="C81" s="5" t="inlineStr">
        <is>
          <t>single_kg3</t>
        </is>
      </c>
      <c r="D81" s="5" t="inlineStr">
        <is>
          <t>university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single_kg3</t>
        </is>
      </c>
      <c r="H81" s="5" t="inlineStr">
        <is>
          <t>single_kg3</t>
        </is>
      </c>
      <c r="I81" s="5" t="b">
        <v>1</v>
      </c>
      <c r="J81" s="5" t="b">
        <v>0</v>
      </c>
      <c r="K81" s="5" t="inlineStr">
        <is>
          <t>mapping_failure</t>
        </is>
      </c>
      <c r="L81" s="5" t="n"/>
      <c r="M81" s="5" t="n">
        <v>0</v>
      </c>
      <c r="N81" s="5" t="n">
        <v>0</v>
      </c>
      <c r="O81" s="5" t="n">
        <v>4.83</v>
      </c>
    </row>
    <row r="82">
      <c r="A82" s="5" t="inlineStr">
        <is>
          <t>single_kg3_006</t>
        </is>
      </c>
      <c r="B82" s="5" t="n">
        <v>1</v>
      </c>
      <c r="C82" s="5" t="inlineStr">
        <is>
          <t>single_kg3</t>
        </is>
      </c>
      <c r="D82" s="5" t="inlineStr">
        <is>
          <t>university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single_kg3</t>
        </is>
      </c>
      <c r="H82" s="5" t="inlineStr">
        <is>
          <t>single_kg3</t>
        </is>
      </c>
      <c r="I82" s="5" t="b">
        <v>1</v>
      </c>
      <c r="J82" s="5" t="b">
        <v>0</v>
      </c>
      <c r="K82" s="5" t="inlineStr">
        <is>
          <t>mapping_failure</t>
        </is>
      </c>
      <c r="L82" s="5" t="n"/>
      <c r="M82" s="5" t="n">
        <v>0</v>
      </c>
      <c r="N82" s="5" t="n">
        <v>0</v>
      </c>
      <c r="O82" s="5" t="n">
        <v>5.25</v>
      </c>
    </row>
    <row r="83">
      <c r="A83" s="5" t="inlineStr">
        <is>
          <t>single_kg3_007</t>
        </is>
      </c>
      <c r="B83" s="5" t="n">
        <v>1</v>
      </c>
      <c r="C83" s="5" t="inlineStr">
        <is>
          <t>single_kg3</t>
        </is>
      </c>
      <c r="D83" s="5" t="inlineStr">
        <is>
          <t>university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single_kg3</t>
        </is>
      </c>
      <c r="H83" s="5" t="inlineStr">
        <is>
          <t>single_kg3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14.3</v>
      </c>
    </row>
    <row r="84">
      <c r="A84" s="5" t="inlineStr">
        <is>
          <t>single_kg3_007</t>
        </is>
      </c>
      <c r="B84" s="5" t="n">
        <v>1</v>
      </c>
      <c r="C84" s="5" t="inlineStr">
        <is>
          <t>single_kg3</t>
        </is>
      </c>
      <c r="D84" s="5" t="inlineStr">
        <is>
          <t>university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single_kg3</t>
        </is>
      </c>
      <c r="H84" s="5" t="inlineStr">
        <is>
          <t>single_kg3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12.66</v>
      </c>
    </row>
    <row r="85">
      <c r="A85" s="5" t="inlineStr">
        <is>
          <t>single_kg3_007</t>
        </is>
      </c>
      <c r="B85" s="5" t="n">
        <v>1</v>
      </c>
      <c r="C85" s="5" t="inlineStr">
        <is>
          <t>single_kg3</t>
        </is>
      </c>
      <c r="D85" s="5" t="inlineStr">
        <is>
          <t>university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single_kg3</t>
        </is>
      </c>
      <c r="H85" s="5" t="inlineStr">
        <is>
          <t>single_kg3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13.3</v>
      </c>
    </row>
    <row r="86">
      <c r="A86" s="5" t="inlineStr">
        <is>
          <t>single_kg3_007</t>
        </is>
      </c>
      <c r="B86" s="5" t="n">
        <v>1</v>
      </c>
      <c r="C86" s="5" t="inlineStr">
        <is>
          <t>single_kg3</t>
        </is>
      </c>
      <c r="D86" s="5" t="inlineStr">
        <is>
          <t>university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single_kg3</t>
        </is>
      </c>
      <c r="H86" s="5" t="inlineStr">
        <is>
          <t>single_kg3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14.48</v>
      </c>
    </row>
    <row r="87">
      <c r="A87" s="5" t="inlineStr">
        <is>
          <t>single_kg3_007</t>
        </is>
      </c>
      <c r="B87" s="5" t="n">
        <v>1</v>
      </c>
      <c r="C87" s="5" t="inlineStr">
        <is>
          <t>single_kg3</t>
        </is>
      </c>
      <c r="D87" s="5" t="inlineStr">
        <is>
          <t>university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single_kg3</t>
        </is>
      </c>
      <c r="H87" s="5" t="inlineStr">
        <is>
          <t>single_kg3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13.35</v>
      </c>
    </row>
    <row r="88">
      <c r="A88" s="5" t="inlineStr">
        <is>
          <t>single_kg3_007</t>
        </is>
      </c>
      <c r="B88" s="5" t="n">
        <v>1</v>
      </c>
      <c r="C88" s="5" t="inlineStr">
        <is>
          <t>single_kg3</t>
        </is>
      </c>
      <c r="D88" s="5" t="inlineStr">
        <is>
          <t>university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single_kg3</t>
        </is>
      </c>
      <c r="H88" s="5" t="inlineStr">
        <is>
          <t>single_kg3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13.48</v>
      </c>
    </row>
    <row r="89">
      <c r="A89" s="5" t="inlineStr">
        <is>
          <t>single_kg3_007</t>
        </is>
      </c>
      <c r="B89" s="5" t="n">
        <v>1</v>
      </c>
      <c r="C89" s="5" t="inlineStr">
        <is>
          <t>single_kg3</t>
        </is>
      </c>
      <c r="D89" s="5" t="inlineStr">
        <is>
          <t>university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single_kg3</t>
        </is>
      </c>
      <c r="H89" s="5" t="inlineStr">
        <is>
          <t>single_kg3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15.9</v>
      </c>
    </row>
    <row r="90">
      <c r="A90" s="5" t="inlineStr">
        <is>
          <t>single_kg3_007</t>
        </is>
      </c>
      <c r="B90" s="5" t="n">
        <v>1</v>
      </c>
      <c r="C90" s="5" t="inlineStr">
        <is>
          <t>single_kg3</t>
        </is>
      </c>
      <c r="D90" s="5" t="inlineStr">
        <is>
          <t>university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single_kg3</t>
        </is>
      </c>
      <c r="H90" s="5" t="inlineStr">
        <is>
          <t>single_kg3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14.14</v>
      </c>
    </row>
    <row r="91">
      <c r="A91" s="5" t="inlineStr">
        <is>
          <t>single_kg3_007</t>
        </is>
      </c>
      <c r="B91" s="5" t="n">
        <v>1</v>
      </c>
      <c r="C91" s="5" t="inlineStr">
        <is>
          <t>single_kg3</t>
        </is>
      </c>
      <c r="D91" s="5" t="inlineStr">
        <is>
          <t>university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single_kg3</t>
        </is>
      </c>
      <c r="H91" s="5" t="inlineStr">
        <is>
          <t>single_kg3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13.97</v>
      </c>
    </row>
    <row r="92">
      <c r="A92" s="5" t="inlineStr">
        <is>
          <t>single_kg3_008</t>
        </is>
      </c>
      <c r="B92" s="5" t="n">
        <v>1</v>
      </c>
      <c r="C92" s="5" t="inlineStr">
        <is>
          <t>single_kg3</t>
        </is>
      </c>
      <c r="D92" s="5" t="inlineStr">
        <is>
          <t>university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single_kg3</t>
        </is>
      </c>
      <c r="H92" s="5" t="inlineStr">
        <is>
          <t>single_kg3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0</v>
      </c>
      <c r="N92" s="5" t="n">
        <v>0</v>
      </c>
      <c r="O92" s="5" t="n">
        <v>12.89</v>
      </c>
    </row>
    <row r="93">
      <c r="A93" s="5" t="inlineStr">
        <is>
          <t>single_kg3_008</t>
        </is>
      </c>
      <c r="B93" s="5" t="n">
        <v>1</v>
      </c>
      <c r="C93" s="5" t="inlineStr">
        <is>
          <t>single_kg3</t>
        </is>
      </c>
      <c r="D93" s="5" t="inlineStr">
        <is>
          <t>university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single_kg3</t>
        </is>
      </c>
      <c r="H93" s="5" t="inlineStr">
        <is>
          <t>single_kg3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0</v>
      </c>
      <c r="N93" s="5" t="n">
        <v>0</v>
      </c>
      <c r="O93" s="5" t="n">
        <v>11.17</v>
      </c>
    </row>
    <row r="94">
      <c r="A94" s="5" t="inlineStr">
        <is>
          <t>single_kg3_008</t>
        </is>
      </c>
      <c r="B94" s="5" t="n">
        <v>1</v>
      </c>
      <c r="C94" s="5" t="inlineStr">
        <is>
          <t>single_kg3</t>
        </is>
      </c>
      <c r="D94" s="5" t="inlineStr">
        <is>
          <t>university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single_kg3</t>
        </is>
      </c>
      <c r="H94" s="5" t="inlineStr">
        <is>
          <t>single_kg3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0</v>
      </c>
      <c r="N94" s="5" t="n">
        <v>0</v>
      </c>
      <c r="O94" s="5" t="n">
        <v>11.61</v>
      </c>
    </row>
    <row r="95">
      <c r="A95" s="5" t="inlineStr">
        <is>
          <t>single_kg3_008</t>
        </is>
      </c>
      <c r="B95" s="5" t="n">
        <v>1</v>
      </c>
      <c r="C95" s="5" t="inlineStr">
        <is>
          <t>single_kg3</t>
        </is>
      </c>
      <c r="D95" s="5" t="inlineStr">
        <is>
          <t>university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single_kg3</t>
        </is>
      </c>
      <c r="H95" s="5" t="inlineStr">
        <is>
          <t>single_kg3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0</v>
      </c>
      <c r="N95" s="5" t="n">
        <v>0</v>
      </c>
      <c r="O95" s="5" t="n">
        <v>13.73</v>
      </c>
    </row>
    <row r="96">
      <c r="A96" s="5" t="inlineStr">
        <is>
          <t>single_kg3_008</t>
        </is>
      </c>
      <c r="B96" s="5" t="n">
        <v>1</v>
      </c>
      <c r="C96" s="5" t="inlineStr">
        <is>
          <t>single_kg3</t>
        </is>
      </c>
      <c r="D96" s="5" t="inlineStr">
        <is>
          <t>university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single_kg3</t>
        </is>
      </c>
      <c r="H96" s="5" t="inlineStr">
        <is>
          <t>single_kg3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0</v>
      </c>
      <c r="N96" s="5" t="n">
        <v>0</v>
      </c>
      <c r="O96" s="5" t="n">
        <v>11.28</v>
      </c>
    </row>
    <row r="97">
      <c r="A97" s="5" t="inlineStr">
        <is>
          <t>single_kg3_008</t>
        </is>
      </c>
      <c r="B97" s="5" t="n">
        <v>1</v>
      </c>
      <c r="C97" s="5" t="inlineStr">
        <is>
          <t>single_kg3</t>
        </is>
      </c>
      <c r="D97" s="5" t="inlineStr">
        <is>
          <t>university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single_kg3</t>
        </is>
      </c>
      <c r="H97" s="5" t="inlineStr">
        <is>
          <t>single_kg3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0</v>
      </c>
      <c r="N97" s="5" t="n">
        <v>0</v>
      </c>
      <c r="O97" s="5" t="n">
        <v>11.6</v>
      </c>
    </row>
    <row r="98">
      <c r="A98" s="5" t="inlineStr">
        <is>
          <t>single_kg3_008</t>
        </is>
      </c>
      <c r="B98" s="5" t="n">
        <v>1</v>
      </c>
      <c r="C98" s="5" t="inlineStr">
        <is>
          <t>single_kg3</t>
        </is>
      </c>
      <c r="D98" s="5" t="inlineStr">
        <is>
          <t>university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single_kg3</t>
        </is>
      </c>
      <c r="H98" s="5" t="inlineStr">
        <is>
          <t>single_kg3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0</v>
      </c>
      <c r="N98" s="5" t="n">
        <v>0</v>
      </c>
      <c r="O98" s="5" t="n">
        <v>13.59</v>
      </c>
    </row>
    <row r="99">
      <c r="A99" s="5" t="inlineStr">
        <is>
          <t>single_kg3_008</t>
        </is>
      </c>
      <c r="B99" s="5" t="n">
        <v>1</v>
      </c>
      <c r="C99" s="5" t="inlineStr">
        <is>
          <t>single_kg3</t>
        </is>
      </c>
      <c r="D99" s="5" t="inlineStr">
        <is>
          <t>university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single_kg3</t>
        </is>
      </c>
      <c r="H99" s="5" t="inlineStr">
        <is>
          <t>single_kg3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0</v>
      </c>
      <c r="N99" s="5" t="n">
        <v>0</v>
      </c>
      <c r="O99" s="5" t="n">
        <v>11.95</v>
      </c>
    </row>
    <row r="100">
      <c r="A100" s="5" t="inlineStr">
        <is>
          <t>single_kg3_008</t>
        </is>
      </c>
      <c r="B100" s="5" t="n">
        <v>1</v>
      </c>
      <c r="C100" s="5" t="inlineStr">
        <is>
          <t>single_kg3</t>
        </is>
      </c>
      <c r="D100" s="5" t="inlineStr">
        <is>
          <t>university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single_kg3</t>
        </is>
      </c>
      <c r="H100" s="5" t="inlineStr">
        <is>
          <t>single_kg3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0</v>
      </c>
      <c r="N100" s="5" t="n">
        <v>0</v>
      </c>
      <c r="O100" s="5" t="n">
        <v>12.11</v>
      </c>
    </row>
    <row r="101">
      <c r="A101" s="5" t="inlineStr">
        <is>
          <t>cross_kg_013</t>
        </is>
      </c>
      <c r="B101" s="5" t="n">
        <v>1</v>
      </c>
      <c r="C101" s="5" t="inlineStr">
        <is>
          <t>cross_kg</t>
        </is>
      </c>
      <c r="D101" s="5" t="inlineStr">
        <is>
          <t>cross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cross_kg</t>
        </is>
      </c>
      <c r="H101" s="5" t="inlineStr">
        <is>
          <t>cross_kg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26.72</v>
      </c>
    </row>
    <row r="102">
      <c r="A102" s="5" t="inlineStr">
        <is>
          <t>cross_kg_013</t>
        </is>
      </c>
      <c r="B102" s="5" t="n">
        <v>1</v>
      </c>
      <c r="C102" s="5" t="inlineStr">
        <is>
          <t>cross_kg</t>
        </is>
      </c>
      <c r="D102" s="5" t="inlineStr">
        <is>
          <t>cross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cross_kg</t>
        </is>
      </c>
      <c r="H102" s="5" t="inlineStr">
        <is>
          <t>cross_kg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17.59</v>
      </c>
    </row>
    <row r="103">
      <c r="A103" s="5" t="inlineStr">
        <is>
          <t>cross_kg_013</t>
        </is>
      </c>
      <c r="B103" s="5" t="n">
        <v>1</v>
      </c>
      <c r="C103" s="5" t="inlineStr">
        <is>
          <t>cross_kg</t>
        </is>
      </c>
      <c r="D103" s="5" t="inlineStr">
        <is>
          <t>cross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cross_kg</t>
        </is>
      </c>
      <c r="H103" s="5" t="inlineStr">
        <is>
          <t>cross_kg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18.46</v>
      </c>
    </row>
    <row r="104">
      <c r="A104" s="5" t="inlineStr">
        <is>
          <t>cross_kg_013</t>
        </is>
      </c>
      <c r="B104" s="5" t="n">
        <v>1</v>
      </c>
      <c r="C104" s="5" t="inlineStr">
        <is>
          <t>cross_kg</t>
        </is>
      </c>
      <c r="D104" s="5" t="inlineStr">
        <is>
          <t>cross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cross_kg</t>
        </is>
      </c>
      <c r="H104" s="5" t="inlineStr">
        <is>
          <t>ask_query</t>
        </is>
      </c>
      <c r="I104" s="5" t="b">
        <v>0</v>
      </c>
      <c r="J104" s="5" t="b">
        <v>0</v>
      </c>
      <c r="K104" s="5" t="inlineStr">
        <is>
          <t>mapping_failure</t>
        </is>
      </c>
      <c r="L104" s="5" t="n"/>
      <c r="M104" s="5" t="n">
        <v>0</v>
      </c>
      <c r="N104" s="5" t="n">
        <v>0</v>
      </c>
      <c r="O104" s="5" t="n">
        <v>11.81</v>
      </c>
    </row>
    <row r="105">
      <c r="A105" s="5" t="inlineStr">
        <is>
          <t>cross_kg_013</t>
        </is>
      </c>
      <c r="B105" s="5" t="n">
        <v>1</v>
      </c>
      <c r="C105" s="5" t="inlineStr">
        <is>
          <t>cross_kg</t>
        </is>
      </c>
      <c r="D105" s="5" t="inlineStr">
        <is>
          <t>cross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cross_kg</t>
        </is>
      </c>
      <c r="H105" s="5" t="inlineStr">
        <is>
          <t>ask_query</t>
        </is>
      </c>
      <c r="I105" s="5" t="b">
        <v>0</v>
      </c>
      <c r="J105" s="5" t="b">
        <v>0</v>
      </c>
      <c r="K105" s="5" t="inlineStr">
        <is>
          <t>mapping_failure</t>
        </is>
      </c>
      <c r="L105" s="5" t="n"/>
      <c r="M105" s="5" t="n">
        <v>0</v>
      </c>
      <c r="N105" s="5" t="n">
        <v>0</v>
      </c>
      <c r="O105" s="5" t="n">
        <v>6.94</v>
      </c>
    </row>
    <row r="106">
      <c r="A106" s="5" t="inlineStr">
        <is>
          <t>cross_kg_013</t>
        </is>
      </c>
      <c r="B106" s="5" t="n">
        <v>1</v>
      </c>
      <c r="C106" s="5" t="inlineStr">
        <is>
          <t>cross_kg</t>
        </is>
      </c>
      <c r="D106" s="5" t="inlineStr">
        <is>
          <t>cross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cross_kg</t>
        </is>
      </c>
      <c r="H106" s="5" t="inlineStr">
        <is>
          <t>ask_query</t>
        </is>
      </c>
      <c r="I106" s="5" t="b">
        <v>0</v>
      </c>
      <c r="J106" s="5" t="b">
        <v>0</v>
      </c>
      <c r="K106" s="5" t="inlineStr">
        <is>
          <t>mapping_failure</t>
        </is>
      </c>
      <c r="L106" s="5" t="n"/>
      <c r="M106" s="5" t="n">
        <v>0</v>
      </c>
      <c r="N106" s="5" t="n">
        <v>0</v>
      </c>
      <c r="O106" s="5" t="n">
        <v>7.58</v>
      </c>
    </row>
    <row r="107">
      <c r="A107" s="5" t="inlineStr">
        <is>
          <t>cross_kg_013</t>
        </is>
      </c>
      <c r="B107" s="5" t="n">
        <v>1</v>
      </c>
      <c r="C107" s="5" t="inlineStr">
        <is>
          <t>cross_kg</t>
        </is>
      </c>
      <c r="D107" s="5" t="inlineStr">
        <is>
          <t>cross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cross_kg</t>
        </is>
      </c>
      <c r="H107" s="5" t="inlineStr">
        <is>
          <t>cross_kg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20.03</v>
      </c>
    </row>
    <row r="108">
      <c r="A108" s="5" t="inlineStr">
        <is>
          <t>cross_kg_013</t>
        </is>
      </c>
      <c r="B108" s="5" t="n">
        <v>1</v>
      </c>
      <c r="C108" s="5" t="inlineStr">
        <is>
          <t>cross_kg</t>
        </is>
      </c>
      <c r="D108" s="5" t="inlineStr">
        <is>
          <t>cross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cross_kg</t>
        </is>
      </c>
      <c r="H108" s="5" t="inlineStr">
        <is>
          <t>cross_kg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15.08</v>
      </c>
    </row>
    <row r="109">
      <c r="A109" s="5" t="inlineStr">
        <is>
          <t>cross_kg_013</t>
        </is>
      </c>
      <c r="B109" s="5" t="n">
        <v>1</v>
      </c>
      <c r="C109" s="5" t="inlineStr">
        <is>
          <t>cross_kg</t>
        </is>
      </c>
      <c r="D109" s="5" t="inlineStr">
        <is>
          <t>cross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cross_kg</t>
        </is>
      </c>
      <c r="H109" s="5" t="inlineStr">
        <is>
          <t>cross_kg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15.73</v>
      </c>
    </row>
    <row r="110">
      <c r="A110" s="5" t="inlineStr">
        <is>
          <t>cross_kg_014</t>
        </is>
      </c>
      <c r="B110" s="5" t="n">
        <v>1</v>
      </c>
      <c r="C110" s="5" t="inlineStr">
        <is>
          <t>cross_kg</t>
        </is>
      </c>
      <c r="D110" s="5" t="inlineStr">
        <is>
          <t>cross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cross_kg</t>
        </is>
      </c>
      <c r="H110" s="5" t="inlineStr">
        <is>
          <t>cross_kg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0</v>
      </c>
      <c r="N110" s="5" t="n">
        <v>0</v>
      </c>
      <c r="O110" s="5" t="n">
        <v>27.29</v>
      </c>
    </row>
    <row r="111">
      <c r="A111" s="5" t="inlineStr">
        <is>
          <t>cross_kg_014</t>
        </is>
      </c>
      <c r="B111" s="5" t="n">
        <v>1</v>
      </c>
      <c r="C111" s="5" t="inlineStr">
        <is>
          <t>cross_kg</t>
        </is>
      </c>
      <c r="D111" s="5" t="inlineStr">
        <is>
          <t>cross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cross_kg</t>
        </is>
      </c>
      <c r="H111" s="5" t="inlineStr">
        <is>
          <t>cross_kg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0</v>
      </c>
      <c r="N111" s="5" t="n">
        <v>0</v>
      </c>
      <c r="O111" s="5" t="n">
        <v>19.01</v>
      </c>
    </row>
    <row r="112">
      <c r="A112" s="5" t="inlineStr">
        <is>
          <t>cross_kg_014</t>
        </is>
      </c>
      <c r="B112" s="5" t="n">
        <v>1</v>
      </c>
      <c r="C112" s="5" t="inlineStr">
        <is>
          <t>cross_kg</t>
        </is>
      </c>
      <c r="D112" s="5" t="inlineStr">
        <is>
          <t>cross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cross_kg</t>
        </is>
      </c>
      <c r="H112" s="5" t="inlineStr">
        <is>
          <t>cross_kg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0</v>
      </c>
      <c r="N112" s="5" t="n">
        <v>0</v>
      </c>
      <c r="O112" s="5" t="n">
        <v>19.17</v>
      </c>
    </row>
    <row r="113">
      <c r="A113" s="5" t="inlineStr">
        <is>
          <t>cross_kg_014</t>
        </is>
      </c>
      <c r="B113" s="5" t="n">
        <v>1</v>
      </c>
      <c r="C113" s="5" t="inlineStr">
        <is>
          <t>cross_kg</t>
        </is>
      </c>
      <c r="D113" s="5" t="inlineStr">
        <is>
          <t>cross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cross_kg</t>
        </is>
      </c>
      <c r="H113" s="5" t="inlineStr">
        <is>
          <t>cross_kg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0</v>
      </c>
      <c r="N113" s="5" t="n">
        <v>0</v>
      </c>
      <c r="O113" s="5" t="n">
        <v>23.72</v>
      </c>
    </row>
    <row r="114">
      <c r="A114" s="5" t="inlineStr">
        <is>
          <t>cross_kg_014</t>
        </is>
      </c>
      <c r="B114" s="5" t="n">
        <v>1</v>
      </c>
      <c r="C114" s="5" t="inlineStr">
        <is>
          <t>cross_kg</t>
        </is>
      </c>
      <c r="D114" s="5" t="inlineStr">
        <is>
          <t>cross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cross_kg</t>
        </is>
      </c>
      <c r="H114" s="5" t="inlineStr">
        <is>
          <t>cross_kg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0</v>
      </c>
      <c r="N114" s="5" t="n">
        <v>0</v>
      </c>
      <c r="O114" s="5" t="n">
        <v>19.81</v>
      </c>
    </row>
    <row r="115">
      <c r="A115" s="5" t="inlineStr">
        <is>
          <t>cross_kg_014</t>
        </is>
      </c>
      <c r="B115" s="5" t="n">
        <v>1</v>
      </c>
      <c r="C115" s="5" t="inlineStr">
        <is>
          <t>cross_kg</t>
        </is>
      </c>
      <c r="D115" s="5" t="inlineStr">
        <is>
          <t>cross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cross_kg</t>
        </is>
      </c>
      <c r="H115" s="5" t="inlineStr">
        <is>
          <t>cross_kg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0</v>
      </c>
      <c r="N115" s="5" t="n">
        <v>0</v>
      </c>
      <c r="O115" s="5" t="n">
        <v>19.85</v>
      </c>
    </row>
    <row r="116">
      <c r="A116" s="5" t="inlineStr">
        <is>
          <t>cross_kg_014</t>
        </is>
      </c>
      <c r="B116" s="5" t="n">
        <v>1</v>
      </c>
      <c r="C116" s="5" t="inlineStr">
        <is>
          <t>cross_kg</t>
        </is>
      </c>
      <c r="D116" s="5" t="inlineStr">
        <is>
          <t>cross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cross_kg</t>
        </is>
      </c>
      <c r="H116" s="5" t="inlineStr">
        <is>
          <t>single_kg1</t>
        </is>
      </c>
      <c r="I116" s="5" t="b">
        <v>0</v>
      </c>
      <c r="J116" s="5" t="b">
        <v>0</v>
      </c>
      <c r="K116" s="5" t="inlineStr">
        <is>
          <t>mapping_failure</t>
        </is>
      </c>
      <c r="L116" s="5" t="n"/>
      <c r="M116" s="5" t="n">
        <v>0</v>
      </c>
      <c r="N116" s="5" t="n">
        <v>0</v>
      </c>
      <c r="O116" s="5" t="n">
        <v>6.84</v>
      </c>
    </row>
    <row r="117">
      <c r="A117" s="5" t="inlineStr">
        <is>
          <t>cross_kg_014</t>
        </is>
      </c>
      <c r="B117" s="5" t="n">
        <v>1</v>
      </c>
      <c r="C117" s="5" t="inlineStr">
        <is>
          <t>cross_kg</t>
        </is>
      </c>
      <c r="D117" s="5" t="inlineStr">
        <is>
          <t>cross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cross_kg</t>
        </is>
      </c>
      <c r="H117" s="5" t="inlineStr">
        <is>
          <t>single_kg1</t>
        </is>
      </c>
      <c r="I117" s="5" t="b">
        <v>0</v>
      </c>
      <c r="J117" s="5" t="b">
        <v>0</v>
      </c>
      <c r="K117" s="5" t="inlineStr">
        <is>
          <t>mapping_failure</t>
        </is>
      </c>
      <c r="L117" s="5" t="n"/>
      <c r="M117" s="5" t="n">
        <v>0</v>
      </c>
      <c r="N117" s="5" t="n">
        <v>0</v>
      </c>
      <c r="O117" s="5" t="n">
        <v>4.02</v>
      </c>
    </row>
    <row r="118">
      <c r="A118" s="5" t="inlineStr">
        <is>
          <t>cross_kg_014</t>
        </is>
      </c>
      <c r="B118" s="5" t="n">
        <v>1</v>
      </c>
      <c r="C118" s="5" t="inlineStr">
        <is>
          <t>cross_kg</t>
        </is>
      </c>
      <c r="D118" s="5" t="inlineStr">
        <is>
          <t>cross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cross_kg</t>
        </is>
      </c>
      <c r="H118" s="5" t="inlineStr">
        <is>
          <t>single_kg1</t>
        </is>
      </c>
      <c r="I118" s="5" t="b">
        <v>0</v>
      </c>
      <c r="J118" s="5" t="b">
        <v>0</v>
      </c>
      <c r="K118" s="5" t="inlineStr">
        <is>
          <t>mapping_failure</t>
        </is>
      </c>
      <c r="L118" s="5" t="n"/>
      <c r="M118" s="5" t="n">
        <v>0</v>
      </c>
      <c r="N118" s="5" t="n">
        <v>0</v>
      </c>
      <c r="O118" s="5" t="n">
        <v>4.5</v>
      </c>
    </row>
    <row r="119">
      <c r="A119" s="5" t="inlineStr">
        <is>
          <t>cross_kg_015</t>
        </is>
      </c>
      <c r="B119" s="5" t="n">
        <v>1</v>
      </c>
      <c r="C119" s="5" t="inlineStr">
        <is>
          <t>cross_kg</t>
        </is>
      </c>
      <c r="D119" s="5" t="inlineStr">
        <is>
          <t>cross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cross_kg</t>
        </is>
      </c>
      <c r="H119" s="5" t="inlineStr">
        <is>
          <t>cross_kg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0</v>
      </c>
      <c r="N119" s="5" t="n">
        <v>0</v>
      </c>
      <c r="O119" s="5" t="n">
        <v>23.37</v>
      </c>
    </row>
    <row r="120">
      <c r="A120" s="5" t="inlineStr">
        <is>
          <t>cross_kg_015</t>
        </is>
      </c>
      <c r="B120" s="5" t="n">
        <v>1</v>
      </c>
      <c r="C120" s="5" t="inlineStr">
        <is>
          <t>cross_kg</t>
        </is>
      </c>
      <c r="D120" s="5" t="inlineStr">
        <is>
          <t>cross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cross_kg</t>
        </is>
      </c>
      <c r="H120" s="5" t="inlineStr">
        <is>
          <t>cross_kg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0</v>
      </c>
      <c r="N120" s="5" t="n">
        <v>0</v>
      </c>
      <c r="O120" s="5" t="n">
        <v>19.38</v>
      </c>
    </row>
    <row r="121">
      <c r="A121" s="5" t="inlineStr">
        <is>
          <t>cross_kg_015</t>
        </is>
      </c>
      <c r="B121" s="5" t="n">
        <v>1</v>
      </c>
      <c r="C121" s="5" t="inlineStr">
        <is>
          <t>cross_kg</t>
        </is>
      </c>
      <c r="D121" s="5" t="inlineStr">
        <is>
          <t>cross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cross_kg</t>
        </is>
      </c>
      <c r="H121" s="5" t="inlineStr">
        <is>
          <t>cross_kg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0</v>
      </c>
      <c r="N121" s="5" t="n">
        <v>0</v>
      </c>
      <c r="O121" s="5" t="n">
        <v>19.57</v>
      </c>
    </row>
    <row r="122">
      <c r="A122" s="5" t="inlineStr">
        <is>
          <t>cross_kg_015</t>
        </is>
      </c>
      <c r="B122" s="5" t="n">
        <v>1</v>
      </c>
      <c r="C122" s="5" t="inlineStr">
        <is>
          <t>cross_kg</t>
        </is>
      </c>
      <c r="D122" s="5" t="inlineStr">
        <is>
          <t>cross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cross_kg</t>
        </is>
      </c>
      <c r="H122" s="5" t="inlineStr">
        <is>
          <t>cross_kg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0</v>
      </c>
      <c r="N122" s="5" t="n">
        <v>0</v>
      </c>
      <c r="O122" s="5" t="n">
        <v>23.58</v>
      </c>
    </row>
    <row r="123">
      <c r="A123" s="5" t="inlineStr">
        <is>
          <t>cross_kg_015</t>
        </is>
      </c>
      <c r="B123" s="5" t="n">
        <v>1</v>
      </c>
      <c r="C123" s="5" t="inlineStr">
        <is>
          <t>cross_kg</t>
        </is>
      </c>
      <c r="D123" s="5" t="inlineStr">
        <is>
          <t>cross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cross_kg</t>
        </is>
      </c>
      <c r="H123" s="5" t="inlineStr">
        <is>
          <t>cross_kg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0</v>
      </c>
      <c r="N123" s="5" t="n">
        <v>0</v>
      </c>
      <c r="O123" s="5" t="n">
        <v>19.64</v>
      </c>
    </row>
    <row r="124">
      <c r="A124" s="5" t="inlineStr">
        <is>
          <t>cross_kg_015</t>
        </is>
      </c>
      <c r="B124" s="5" t="n">
        <v>1</v>
      </c>
      <c r="C124" s="5" t="inlineStr">
        <is>
          <t>cross_kg</t>
        </is>
      </c>
      <c r="D124" s="5" t="inlineStr">
        <is>
          <t>cross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cross_kg</t>
        </is>
      </c>
      <c r="H124" s="5" t="inlineStr">
        <is>
          <t>cross_kg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0</v>
      </c>
      <c r="N124" s="5" t="n">
        <v>0</v>
      </c>
      <c r="O124" s="5" t="n">
        <v>20.45</v>
      </c>
    </row>
    <row r="125">
      <c r="A125" s="5" t="inlineStr">
        <is>
          <t>cross_kg_015</t>
        </is>
      </c>
      <c r="B125" s="5" t="n">
        <v>1</v>
      </c>
      <c r="C125" s="5" t="inlineStr">
        <is>
          <t>cross_kg</t>
        </is>
      </c>
      <c r="D125" s="5" t="inlineStr">
        <is>
          <t>cross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cross_kg</t>
        </is>
      </c>
      <c r="H125" s="5" t="inlineStr">
        <is>
          <t>cross_kg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0</v>
      </c>
      <c r="N125" s="5" t="n">
        <v>0</v>
      </c>
      <c r="O125" s="5" t="n">
        <v>23.74</v>
      </c>
    </row>
    <row r="126">
      <c r="A126" s="5" t="inlineStr">
        <is>
          <t>cross_kg_015</t>
        </is>
      </c>
      <c r="B126" s="5" t="n">
        <v>1</v>
      </c>
      <c r="C126" s="5" t="inlineStr">
        <is>
          <t>cross_kg</t>
        </is>
      </c>
      <c r="D126" s="5" t="inlineStr">
        <is>
          <t>cross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cross_kg</t>
        </is>
      </c>
      <c r="H126" s="5" t="inlineStr">
        <is>
          <t>cross_kg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0</v>
      </c>
      <c r="N126" s="5" t="n">
        <v>0</v>
      </c>
      <c r="O126" s="5" t="n">
        <v>19.51</v>
      </c>
    </row>
    <row r="127">
      <c r="A127" s="5" t="inlineStr">
        <is>
          <t>cross_kg_015</t>
        </is>
      </c>
      <c r="B127" s="5" t="n">
        <v>1</v>
      </c>
      <c r="C127" s="5" t="inlineStr">
        <is>
          <t>cross_kg</t>
        </is>
      </c>
      <c r="D127" s="5" t="inlineStr">
        <is>
          <t>cross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cross_kg</t>
        </is>
      </c>
      <c r="H127" s="5" t="inlineStr">
        <is>
          <t>cross_kg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0</v>
      </c>
      <c r="N127" s="5" t="n">
        <v>0</v>
      </c>
      <c r="O127" s="5" t="n">
        <v>19.68</v>
      </c>
    </row>
    <row r="128">
      <c r="A128" s="5" t="inlineStr">
        <is>
          <t>group_agg_kg2_001</t>
        </is>
      </c>
      <c r="B128" s="5" t="n">
        <v>2</v>
      </c>
      <c r="C128" s="5" t="inlineStr">
        <is>
          <t>group_aggregate_kg2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template</t>
        </is>
      </c>
      <c r="H128" s="5" t="inlineStr">
        <is>
          <t>template</t>
        </is>
      </c>
      <c r="I128" s="5" t="b">
        <v>1</v>
      </c>
      <c r="J128" s="5" t="b">
        <v>0</v>
      </c>
      <c r="K128" s="5" t="inlineStr">
        <is>
          <t>sparql_build_failure</t>
        </is>
      </c>
      <c r="L128" s="5" t="inlineStr">
        <is>
          <t>params={'property': 'country', 'mode': 'count'}</t>
        </is>
      </c>
      <c r="M128" s="5" t="n">
        <v>0</v>
      </c>
      <c r="N128" s="5" t="n">
        <v>0</v>
      </c>
      <c r="O128" s="5" t="n">
        <v>10.51</v>
      </c>
    </row>
    <row r="129">
      <c r="A129" s="5" t="inlineStr">
        <is>
          <t>group_agg_kg2_001</t>
        </is>
      </c>
      <c r="B129" s="5" t="n">
        <v>2</v>
      </c>
      <c r="C129" s="5" t="inlineStr">
        <is>
          <t>group_aggregate_kg2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template</t>
        </is>
      </c>
      <c r="H129" s="5" t="inlineStr">
        <is>
          <t>template</t>
        </is>
      </c>
      <c r="I129" s="5" t="b">
        <v>1</v>
      </c>
      <c r="J129" s="5" t="b">
        <v>0</v>
      </c>
      <c r="K129" s="5" t="inlineStr">
        <is>
          <t>sparql_build_failure</t>
        </is>
      </c>
      <c r="L129" s="5" t="inlineStr">
        <is>
          <t>params={'property': 'country', 'mode': 'count'}</t>
        </is>
      </c>
      <c r="M129" s="5" t="n">
        <v>0</v>
      </c>
      <c r="N129" s="5" t="n">
        <v>0</v>
      </c>
      <c r="O129" s="5" t="n">
        <v>6.45</v>
      </c>
    </row>
    <row r="130">
      <c r="A130" s="5" t="inlineStr">
        <is>
          <t>group_agg_kg2_001</t>
        </is>
      </c>
      <c r="B130" s="5" t="n">
        <v>2</v>
      </c>
      <c r="C130" s="5" t="inlineStr">
        <is>
          <t>group_aggregate_kg2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template</t>
        </is>
      </c>
      <c r="H130" s="5" t="inlineStr">
        <is>
          <t>template</t>
        </is>
      </c>
      <c r="I130" s="5" t="b">
        <v>1</v>
      </c>
      <c r="J130" s="5" t="b">
        <v>0</v>
      </c>
      <c r="K130" s="5" t="inlineStr">
        <is>
          <t>sparql_build_failure</t>
        </is>
      </c>
      <c r="L130" s="5" t="inlineStr">
        <is>
          <t>params={'property': 'country', 'mode': 'count'}</t>
        </is>
      </c>
      <c r="M130" s="5" t="n">
        <v>0</v>
      </c>
      <c r="N130" s="5" t="n">
        <v>0</v>
      </c>
      <c r="O130" s="5" t="n">
        <v>6.3</v>
      </c>
    </row>
    <row r="131">
      <c r="A131" s="5" t="inlineStr">
        <is>
          <t>group_agg_kg2_001</t>
        </is>
      </c>
      <c r="B131" s="5" t="n">
        <v>2</v>
      </c>
      <c r="C131" s="5" t="inlineStr">
        <is>
          <t>group_aggregate_kg2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template</t>
        </is>
      </c>
      <c r="H131" s="5" t="inlineStr">
        <is>
          <t>template</t>
        </is>
      </c>
      <c r="I131" s="5" t="b">
        <v>1</v>
      </c>
      <c r="J131" s="5" t="b">
        <v>0</v>
      </c>
      <c r="K131" s="5" t="inlineStr">
        <is>
          <t>sparql_build_failure</t>
        </is>
      </c>
      <c r="L131" s="5" t="inlineStr">
        <is>
          <t>params={'property': 'country', 'mode': 'count'}</t>
        </is>
      </c>
      <c r="M131" s="5" t="n">
        <v>0</v>
      </c>
      <c r="N131" s="5" t="n">
        <v>0</v>
      </c>
      <c r="O131" s="5" t="n">
        <v>9.720000000000001</v>
      </c>
    </row>
    <row r="132">
      <c r="A132" s="5" t="inlineStr">
        <is>
          <t>group_agg_kg2_001</t>
        </is>
      </c>
      <c r="B132" s="5" t="n">
        <v>2</v>
      </c>
      <c r="C132" s="5" t="inlineStr">
        <is>
          <t>group_aggregate_kg2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template</t>
        </is>
      </c>
      <c r="H132" s="5" t="inlineStr">
        <is>
          <t>template</t>
        </is>
      </c>
      <c r="I132" s="5" t="b">
        <v>1</v>
      </c>
      <c r="J132" s="5" t="b">
        <v>0</v>
      </c>
      <c r="K132" s="5" t="inlineStr">
        <is>
          <t>sparql_build_failure</t>
        </is>
      </c>
      <c r="L132" s="5" t="inlineStr">
        <is>
          <t>params={'property': 'country', 'mode': 'count'}</t>
        </is>
      </c>
      <c r="M132" s="5" t="n">
        <v>0</v>
      </c>
      <c r="N132" s="5" t="n">
        <v>0</v>
      </c>
      <c r="O132" s="5" t="n">
        <v>6.39</v>
      </c>
    </row>
    <row r="133">
      <c r="A133" s="5" t="inlineStr">
        <is>
          <t>group_agg_kg2_001</t>
        </is>
      </c>
      <c r="B133" s="5" t="n">
        <v>2</v>
      </c>
      <c r="C133" s="5" t="inlineStr">
        <is>
          <t>group_aggregate_kg2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template</t>
        </is>
      </c>
      <c r="H133" s="5" t="inlineStr">
        <is>
          <t>template</t>
        </is>
      </c>
      <c r="I133" s="5" t="b">
        <v>1</v>
      </c>
      <c r="J133" s="5" t="b">
        <v>0</v>
      </c>
      <c r="K133" s="5" t="inlineStr">
        <is>
          <t>sparql_build_failure</t>
        </is>
      </c>
      <c r="L133" s="5" t="inlineStr">
        <is>
          <t>params={'property': 'country', 'mode': 'count'}</t>
        </is>
      </c>
      <c r="M133" s="5" t="n">
        <v>0</v>
      </c>
      <c r="N133" s="5" t="n">
        <v>0</v>
      </c>
      <c r="O133" s="5" t="n">
        <v>6.46</v>
      </c>
    </row>
    <row r="134">
      <c r="A134" s="5" t="inlineStr">
        <is>
          <t>group_agg_kg2_001</t>
        </is>
      </c>
      <c r="B134" s="5" t="n">
        <v>2</v>
      </c>
      <c r="C134" s="5" t="inlineStr">
        <is>
          <t>group_aggregate_kg2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template</t>
        </is>
      </c>
      <c r="H134" s="5" t="inlineStr">
        <is>
          <t>template</t>
        </is>
      </c>
      <c r="I134" s="5" t="b">
        <v>1</v>
      </c>
      <c r="J134" s="5" t="b">
        <v>0</v>
      </c>
      <c r="K134" s="5" t="inlineStr">
        <is>
          <t>sparql_build_failure</t>
        </is>
      </c>
      <c r="L134" s="5" t="inlineStr">
        <is>
          <t>params={'property': 'country', 'mode': 'count'}</t>
        </is>
      </c>
      <c r="M134" s="5" t="n">
        <v>0</v>
      </c>
      <c r="N134" s="5" t="n">
        <v>0</v>
      </c>
      <c r="O134" s="5" t="n">
        <v>10.18</v>
      </c>
    </row>
    <row r="135">
      <c r="A135" s="5" t="inlineStr">
        <is>
          <t>group_agg_kg2_001</t>
        </is>
      </c>
      <c r="B135" s="5" t="n">
        <v>2</v>
      </c>
      <c r="C135" s="5" t="inlineStr">
        <is>
          <t>group_aggregate_kg2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template</t>
        </is>
      </c>
      <c r="H135" s="5" t="inlineStr">
        <is>
          <t>template</t>
        </is>
      </c>
      <c r="I135" s="5" t="b">
        <v>1</v>
      </c>
      <c r="J135" s="5" t="b">
        <v>0</v>
      </c>
      <c r="K135" s="5" t="inlineStr">
        <is>
          <t>sparql_build_failure</t>
        </is>
      </c>
      <c r="L135" s="5" t="inlineStr">
        <is>
          <t>params={'property': 'country', 'mode': 'count'}</t>
        </is>
      </c>
      <c r="M135" s="5" t="n">
        <v>0</v>
      </c>
      <c r="N135" s="5" t="n">
        <v>0</v>
      </c>
      <c r="O135" s="5" t="n">
        <v>27.87</v>
      </c>
    </row>
    <row r="136">
      <c r="A136" s="5" t="inlineStr">
        <is>
          <t>group_agg_kg2_001</t>
        </is>
      </c>
      <c r="B136" s="5" t="n">
        <v>2</v>
      </c>
      <c r="C136" s="5" t="inlineStr">
        <is>
          <t>group_aggregate_kg2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template</t>
        </is>
      </c>
      <c r="H136" s="5" t="inlineStr">
        <is>
          <t>template</t>
        </is>
      </c>
      <c r="I136" s="5" t="b">
        <v>1</v>
      </c>
      <c r="J136" s="5" t="b">
        <v>0</v>
      </c>
      <c r="K136" s="5" t="inlineStr">
        <is>
          <t>sparql_build_failure</t>
        </is>
      </c>
      <c r="L136" s="5" t="inlineStr">
        <is>
          <t>params={'property': 'country', 'mode': 'count'}</t>
        </is>
      </c>
      <c r="M136" s="5" t="n">
        <v>0</v>
      </c>
      <c r="N136" s="5" t="n">
        <v>0</v>
      </c>
      <c r="O136" s="5" t="n">
        <v>27.96</v>
      </c>
    </row>
    <row r="137">
      <c r="A137" s="5" t="inlineStr">
        <is>
          <t>filter_string_kg3_003</t>
        </is>
      </c>
      <c r="B137" s="5" t="n">
        <v>2</v>
      </c>
      <c r="C137" s="5" t="inlineStr">
        <is>
          <t>filter_string_kg3</t>
        </is>
      </c>
      <c r="D137" s="5" t="inlineStr">
        <is>
          <t>university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template</t>
        </is>
      </c>
      <c r="H137" s="5" t="inlineStr">
        <is>
          <t>template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0</v>
      </c>
      <c r="N137" s="5" t="n">
        <v>0</v>
      </c>
      <c r="O137" s="5" t="n">
        <v>45.45</v>
      </c>
    </row>
    <row r="138">
      <c r="A138" s="5" t="inlineStr">
        <is>
          <t>filter_string_kg3_003</t>
        </is>
      </c>
      <c r="B138" s="5" t="n">
        <v>2</v>
      </c>
      <c r="C138" s="5" t="inlineStr">
        <is>
          <t>filter_string_kg3</t>
        </is>
      </c>
      <c r="D138" s="5" t="inlineStr">
        <is>
          <t>university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template</t>
        </is>
      </c>
      <c r="H138" s="5" t="inlineStr">
        <is>
          <t>template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0</v>
      </c>
      <c r="N138" s="5" t="n">
        <v>0</v>
      </c>
      <c r="O138" s="5" t="n">
        <v>40.74</v>
      </c>
    </row>
    <row r="139">
      <c r="A139" s="5" t="inlineStr">
        <is>
          <t>filter_string_kg3_003</t>
        </is>
      </c>
      <c r="B139" s="5" t="n">
        <v>2</v>
      </c>
      <c r="C139" s="5" t="inlineStr">
        <is>
          <t>filter_string_kg3</t>
        </is>
      </c>
      <c r="D139" s="5" t="inlineStr">
        <is>
          <t>university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template</t>
        </is>
      </c>
      <c r="H139" s="5" t="inlineStr">
        <is>
          <t>template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0</v>
      </c>
      <c r="N139" s="5" t="n">
        <v>0</v>
      </c>
      <c r="O139" s="5" t="n">
        <v>41.72</v>
      </c>
    </row>
    <row r="140">
      <c r="A140" s="5" t="inlineStr">
        <is>
          <t>filter_string_kg3_003</t>
        </is>
      </c>
      <c r="B140" s="5" t="n">
        <v>2</v>
      </c>
      <c r="C140" s="5" t="inlineStr">
        <is>
          <t>filter_string_kg3</t>
        </is>
      </c>
      <c r="D140" s="5" t="inlineStr">
        <is>
          <t>university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template</t>
        </is>
      </c>
      <c r="H140" s="5" t="inlineStr">
        <is>
          <t>single_kg3</t>
        </is>
      </c>
      <c r="I140" s="5" t="b">
        <v>0</v>
      </c>
      <c r="J140" s="5" t="b">
        <v>1</v>
      </c>
      <c r="K140" s="5" t="inlineStr">
        <is>
          <t>success</t>
        </is>
      </c>
      <c r="L140" s="5" t="n"/>
      <c r="M140" s="5" t="n">
        <v>0</v>
      </c>
      <c r="N140" s="5" t="n">
        <v>0</v>
      </c>
      <c r="O140" s="5" t="n">
        <v>66.76000000000001</v>
      </c>
    </row>
    <row r="141">
      <c r="A141" s="5" t="inlineStr">
        <is>
          <t>filter_string_kg3_003</t>
        </is>
      </c>
      <c r="B141" s="5" t="n">
        <v>2</v>
      </c>
      <c r="C141" s="5" t="inlineStr">
        <is>
          <t>filter_string_kg3</t>
        </is>
      </c>
      <c r="D141" s="5" t="inlineStr">
        <is>
          <t>university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template</t>
        </is>
      </c>
      <c r="H141" s="5" t="inlineStr">
        <is>
          <t>single_kg3</t>
        </is>
      </c>
      <c r="I141" s="5" t="b">
        <v>0</v>
      </c>
      <c r="J141" s="5" t="b">
        <v>1</v>
      </c>
      <c r="K141" s="5" t="inlineStr">
        <is>
          <t>success</t>
        </is>
      </c>
      <c r="L141" s="5" t="n"/>
      <c r="M141" s="5" t="n">
        <v>0</v>
      </c>
      <c r="N141" s="5" t="n">
        <v>0</v>
      </c>
      <c r="O141" s="5" t="n">
        <v>22.55</v>
      </c>
    </row>
    <row r="142">
      <c r="A142" s="5" t="inlineStr">
        <is>
          <t>filter_string_kg3_003</t>
        </is>
      </c>
      <c r="B142" s="5" t="n">
        <v>2</v>
      </c>
      <c r="C142" s="5" t="inlineStr">
        <is>
          <t>filter_string_kg3</t>
        </is>
      </c>
      <c r="D142" s="5" t="inlineStr">
        <is>
          <t>university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template</t>
        </is>
      </c>
      <c r="H142" s="5" t="inlineStr">
        <is>
          <t>single_kg3</t>
        </is>
      </c>
      <c r="I142" s="5" t="b">
        <v>0</v>
      </c>
      <c r="J142" s="5" t="b">
        <v>1</v>
      </c>
      <c r="K142" s="5" t="inlineStr">
        <is>
          <t>success</t>
        </is>
      </c>
      <c r="L142" s="5" t="n"/>
      <c r="M142" s="5" t="n">
        <v>0</v>
      </c>
      <c r="N142" s="5" t="n">
        <v>0</v>
      </c>
      <c r="O142" s="5" t="n">
        <v>12.38</v>
      </c>
    </row>
    <row r="143">
      <c r="A143" s="5" t="inlineStr">
        <is>
          <t>filter_string_kg3_003</t>
        </is>
      </c>
      <c r="B143" s="5" t="n">
        <v>2</v>
      </c>
      <c r="C143" s="5" t="inlineStr">
        <is>
          <t>filter_string_kg3</t>
        </is>
      </c>
      <c r="D143" s="5" t="inlineStr">
        <is>
          <t>university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template</t>
        </is>
      </c>
      <c r="H143" s="5" t="inlineStr">
        <is>
          <t>template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0</v>
      </c>
      <c r="N143" s="5" t="n">
        <v>0</v>
      </c>
      <c r="O143" s="5" t="n">
        <v>12.7</v>
      </c>
    </row>
    <row r="144">
      <c r="A144" s="5" t="inlineStr">
        <is>
          <t>filter_string_kg3_003</t>
        </is>
      </c>
      <c r="B144" s="5" t="n">
        <v>2</v>
      </c>
      <c r="C144" s="5" t="inlineStr">
        <is>
          <t>filter_string_kg3</t>
        </is>
      </c>
      <c r="D144" s="5" t="inlineStr">
        <is>
          <t>university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template</t>
        </is>
      </c>
      <c r="H144" s="5" t="inlineStr">
        <is>
          <t>template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0</v>
      </c>
      <c r="N144" s="5" t="n">
        <v>0</v>
      </c>
      <c r="O144" s="5" t="n">
        <v>9.5</v>
      </c>
    </row>
    <row r="145">
      <c r="A145" s="5" t="inlineStr">
        <is>
          <t>filter_string_kg3_003</t>
        </is>
      </c>
      <c r="B145" s="5" t="n">
        <v>2</v>
      </c>
      <c r="C145" s="5" t="inlineStr">
        <is>
          <t>filter_string_kg3</t>
        </is>
      </c>
      <c r="D145" s="5" t="inlineStr">
        <is>
          <t>university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template</t>
        </is>
      </c>
      <c r="H145" s="5" t="inlineStr">
        <is>
          <t>template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0</v>
      </c>
      <c r="N145" s="5" t="n">
        <v>0</v>
      </c>
      <c r="O145" s="5" t="n">
        <v>9.49</v>
      </c>
    </row>
    <row r="146">
      <c r="A146" s="5" t="inlineStr">
        <is>
          <t>ranking_kg2_004</t>
        </is>
      </c>
      <c r="B146" s="5" t="n">
        <v>2</v>
      </c>
      <c r="C146" s="5" t="inlineStr">
        <is>
          <t>ranking_kg2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template</t>
        </is>
      </c>
      <c r="H146" s="5" t="inlineStr">
        <is>
          <t>template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13.91</v>
      </c>
    </row>
    <row r="147">
      <c r="A147" s="5" t="inlineStr">
        <is>
          <t>ranking_kg2_004</t>
        </is>
      </c>
      <c r="B147" s="5" t="n">
        <v>2</v>
      </c>
      <c r="C147" s="5" t="inlineStr">
        <is>
          <t>ranking_kg2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template</t>
        </is>
      </c>
      <c r="H147" s="5" t="inlineStr">
        <is>
          <t>template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9.9</v>
      </c>
    </row>
    <row r="148">
      <c r="A148" s="5" t="inlineStr">
        <is>
          <t>ranking_kg2_004</t>
        </is>
      </c>
      <c r="B148" s="5" t="n">
        <v>2</v>
      </c>
      <c r="C148" s="5" t="inlineStr">
        <is>
          <t>ranking_kg2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template</t>
        </is>
      </c>
      <c r="H148" s="5" t="inlineStr">
        <is>
          <t>template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10.07</v>
      </c>
    </row>
    <row r="149">
      <c r="A149" s="5" t="inlineStr">
        <is>
          <t>ranking_kg2_004</t>
        </is>
      </c>
      <c r="B149" s="5" t="n">
        <v>2</v>
      </c>
      <c r="C149" s="5" t="inlineStr">
        <is>
          <t>ranking_kg2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template</t>
        </is>
      </c>
      <c r="H149" s="5" t="inlineStr">
        <is>
          <t>template</t>
        </is>
      </c>
      <c r="I149" s="5" t="b">
        <v>1</v>
      </c>
      <c r="J149" s="5" t="b">
        <v>0</v>
      </c>
      <c r="K149" s="5" t="inlineStr">
        <is>
          <t>execution_failure</t>
        </is>
      </c>
      <c r="L149" s="5" t="inlineStr">
        <is>
          <t>params={'airport1': 'all', 'airport2': 'null', 'property': 'elevationFt'}</t>
        </is>
      </c>
      <c r="M149" s="5" t="n">
        <v>0</v>
      </c>
      <c r="N149" s="5" t="n">
        <v>0</v>
      </c>
      <c r="O149" s="5" t="n">
        <v>14.1</v>
      </c>
    </row>
    <row r="150">
      <c r="A150" s="5" t="inlineStr">
        <is>
          <t>ranking_kg2_004</t>
        </is>
      </c>
      <c r="B150" s="5" t="n">
        <v>2</v>
      </c>
      <c r="C150" s="5" t="inlineStr">
        <is>
          <t>ranking_kg2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template</t>
        </is>
      </c>
      <c r="H150" s="5" t="inlineStr">
        <is>
          <t>template</t>
        </is>
      </c>
      <c r="I150" s="5" t="b">
        <v>1</v>
      </c>
      <c r="J150" s="5" t="b">
        <v>0</v>
      </c>
      <c r="K150" s="5" t="inlineStr">
        <is>
          <t>execution_failure</t>
        </is>
      </c>
      <c r="L150" s="5" t="inlineStr">
        <is>
          <t>params={'airport1': 'all', 'airport2': 'null', 'property': 'elevationFt'}</t>
        </is>
      </c>
      <c r="M150" s="5" t="n">
        <v>0</v>
      </c>
      <c r="N150" s="5" t="n">
        <v>0</v>
      </c>
      <c r="O150" s="5" t="n">
        <v>10.68</v>
      </c>
    </row>
    <row r="151">
      <c r="A151" s="5" t="inlineStr">
        <is>
          <t>ranking_kg2_004</t>
        </is>
      </c>
      <c r="B151" s="5" t="n">
        <v>2</v>
      </c>
      <c r="C151" s="5" t="inlineStr">
        <is>
          <t>ranking_kg2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template</t>
        </is>
      </c>
      <c r="H151" s="5" t="inlineStr">
        <is>
          <t>template</t>
        </is>
      </c>
      <c r="I151" s="5" t="b">
        <v>1</v>
      </c>
      <c r="J151" s="5" t="b">
        <v>0</v>
      </c>
      <c r="K151" s="5" t="inlineStr">
        <is>
          <t>execution_failure</t>
        </is>
      </c>
      <c r="L151" s="5" t="inlineStr">
        <is>
          <t>params={'airport1': 'all', 'airport2': 'null', 'property': 'elevationFt'}</t>
        </is>
      </c>
      <c r="M151" s="5" t="n">
        <v>0</v>
      </c>
      <c r="N151" s="5" t="n">
        <v>0</v>
      </c>
      <c r="O151" s="5" t="n">
        <v>10.56</v>
      </c>
    </row>
    <row r="152">
      <c r="A152" s="5" t="inlineStr">
        <is>
          <t>ranking_kg2_004</t>
        </is>
      </c>
      <c r="B152" s="5" t="n">
        <v>2</v>
      </c>
      <c r="C152" s="5" t="inlineStr">
        <is>
          <t>ranking_kg2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template</t>
        </is>
      </c>
      <c r="H152" s="5" t="inlineStr">
        <is>
          <t>template</t>
        </is>
      </c>
      <c r="I152" s="5" t="b">
        <v>1</v>
      </c>
      <c r="J152" s="5" t="b">
        <v>0</v>
      </c>
      <c r="K152" s="5" t="inlineStr">
        <is>
          <t>execution_failure</t>
        </is>
      </c>
      <c r="L152" s="5" t="inlineStr">
        <is>
          <t>params={'airport1': '???', 'airport2': '???', 'property': 'elevationFt'}</t>
        </is>
      </c>
      <c r="M152" s="5" t="n">
        <v>0</v>
      </c>
      <c r="N152" s="5" t="n">
        <v>0</v>
      </c>
      <c r="O152" s="5" t="n">
        <v>11.5</v>
      </c>
    </row>
    <row r="153">
      <c r="A153" s="5" t="inlineStr">
        <is>
          <t>ranking_kg2_004</t>
        </is>
      </c>
      <c r="B153" s="5" t="n">
        <v>2</v>
      </c>
      <c r="C153" s="5" t="inlineStr">
        <is>
          <t>ranking_kg2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template</t>
        </is>
      </c>
      <c r="H153" s="5" t="inlineStr">
        <is>
          <t>template</t>
        </is>
      </c>
      <c r="I153" s="5" t="b">
        <v>1</v>
      </c>
      <c r="J153" s="5" t="b">
        <v>0</v>
      </c>
      <c r="K153" s="5" t="inlineStr">
        <is>
          <t>execution_failure</t>
        </is>
      </c>
      <c r="L153" s="5" t="inlineStr">
        <is>
          <t>params={'airport1': '???', 'airport2': '???', 'property': 'elevationFt'}</t>
        </is>
      </c>
      <c r="M153" s="5" t="n">
        <v>0</v>
      </c>
      <c r="N153" s="5" t="n">
        <v>0</v>
      </c>
      <c r="O153" s="5" t="n">
        <v>8.99</v>
      </c>
    </row>
    <row r="154">
      <c r="A154" s="5" t="inlineStr">
        <is>
          <t>ranking_kg2_004</t>
        </is>
      </c>
      <c r="B154" s="5" t="n">
        <v>2</v>
      </c>
      <c r="C154" s="5" t="inlineStr">
        <is>
          <t>ranking_kg2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template</t>
        </is>
      </c>
      <c r="H154" s="5" t="inlineStr">
        <is>
          <t>template</t>
        </is>
      </c>
      <c r="I154" s="5" t="b">
        <v>1</v>
      </c>
      <c r="J154" s="5" t="b">
        <v>0</v>
      </c>
      <c r="K154" s="5" t="inlineStr">
        <is>
          <t>execution_failure</t>
        </is>
      </c>
      <c r="L154" s="5" t="inlineStr">
        <is>
          <t>params={'airport1': '???', 'airport2': '???', 'property': 'elevationFt'}</t>
        </is>
      </c>
      <c r="M154" s="5" t="n">
        <v>0</v>
      </c>
      <c r="N154" s="5" t="n">
        <v>0</v>
      </c>
      <c r="O154" s="5" t="n">
        <v>9.01</v>
      </c>
    </row>
    <row r="155">
      <c r="A155" s="5" t="inlineStr">
        <is>
          <t>ask_query_005</t>
        </is>
      </c>
      <c r="B155" s="5" t="n">
        <v>3</v>
      </c>
      <c r="C155" s="5" t="inlineStr">
        <is>
          <t>ask_query</t>
        </is>
      </c>
      <c r="D155" s="5" t="inlineStr">
        <is>
          <t>mixed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ask_query</t>
        </is>
      </c>
      <c r="H155" s="5" t="inlineStr">
        <is>
          <t>ask_query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0</v>
      </c>
      <c r="N155" s="5" t="n">
        <v>0</v>
      </c>
      <c r="O155" s="5" t="n">
        <v>7.62</v>
      </c>
    </row>
    <row r="156">
      <c r="A156" s="5" t="inlineStr">
        <is>
          <t>ask_query_005</t>
        </is>
      </c>
      <c r="B156" s="5" t="n">
        <v>3</v>
      </c>
      <c r="C156" s="5" t="inlineStr">
        <is>
          <t>ask_query</t>
        </is>
      </c>
      <c r="D156" s="5" t="inlineStr">
        <is>
          <t>mixed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ask_query</t>
        </is>
      </c>
      <c r="H156" s="5" t="inlineStr">
        <is>
          <t>ask_query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5.15</v>
      </c>
    </row>
    <row r="157">
      <c r="A157" s="5" t="inlineStr">
        <is>
          <t>ask_query_005</t>
        </is>
      </c>
      <c r="B157" s="5" t="n">
        <v>3</v>
      </c>
      <c r="C157" s="5" t="inlineStr">
        <is>
          <t>ask_query</t>
        </is>
      </c>
      <c r="D157" s="5" t="inlineStr">
        <is>
          <t>mixed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ask_query</t>
        </is>
      </c>
      <c r="H157" s="5" t="inlineStr">
        <is>
          <t>ask_query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10.26</v>
      </c>
    </row>
    <row r="158">
      <c r="A158" s="5" t="inlineStr">
        <is>
          <t>open_kg_007</t>
        </is>
      </c>
      <c r="B158" s="5" t="n">
        <v>1</v>
      </c>
      <c r="C158" s="5" t="inlineStr">
        <is>
          <t>open_kg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open_kg</t>
        </is>
      </c>
      <c r="H158" s="5" t="inlineStr">
        <is>
          <t>open_kg</t>
        </is>
      </c>
      <c r="I158" s="5" t="b">
        <v>1</v>
      </c>
      <c r="J158" s="5" t="b">
        <v>0</v>
      </c>
      <c r="K158" s="5" t="inlineStr">
        <is>
          <t>generation_failure</t>
        </is>
      </c>
      <c r="L158" s="5" t="n"/>
      <c r="M158" s="5" t="n">
        <v>0</v>
      </c>
      <c r="N158" s="5" t="n">
        <v>0</v>
      </c>
      <c r="O158" s="5" t="n">
        <v>36.18</v>
      </c>
    </row>
    <row r="159">
      <c r="A159" s="5" t="inlineStr">
        <is>
          <t>open_kg_007</t>
        </is>
      </c>
      <c r="B159" s="5" t="n">
        <v>1</v>
      </c>
      <c r="C159" s="5" t="inlineStr">
        <is>
          <t>open_kg</t>
        </is>
      </c>
      <c r="D159" s="5" t="inlineStr">
        <is>
          <t>cross</t>
        </is>
      </c>
      <c r="E159" s="5" t="inlineStr">
        <is>
          <t>en</t>
        </is>
      </c>
      <c r="F159" s="5" t="inlineStr">
        <is>
          <t>few-shot</t>
        </is>
      </c>
      <c r="G159" s="5" t="inlineStr">
        <is>
          <t>open_kg</t>
        </is>
      </c>
      <c r="H159" s="5" t="inlineStr">
        <is>
          <t>open_kg</t>
        </is>
      </c>
      <c r="I159" s="5" t="b">
        <v>1</v>
      </c>
      <c r="J159" s="5" t="b">
        <v>0</v>
      </c>
      <c r="K159" s="5" t="inlineStr">
        <is>
          <t>generation_failure</t>
        </is>
      </c>
      <c r="L159" s="5" t="n"/>
      <c r="M159" s="5" t="n">
        <v>0</v>
      </c>
      <c r="N159" s="5" t="n">
        <v>0</v>
      </c>
      <c r="O159" s="5" t="n">
        <v>26.82</v>
      </c>
    </row>
    <row r="160">
      <c r="A160" s="5" t="inlineStr">
        <is>
          <t>open_kg_007</t>
        </is>
      </c>
      <c r="B160" s="5" t="n">
        <v>1</v>
      </c>
      <c r="C160" s="5" t="inlineStr">
        <is>
          <t>open_kg</t>
        </is>
      </c>
      <c r="D160" s="5" t="inlineStr">
        <is>
          <t>cross</t>
        </is>
      </c>
      <c r="E160" s="5" t="inlineStr">
        <is>
          <t>en</t>
        </is>
      </c>
      <c r="F160" s="5" t="inlineStr">
        <is>
          <t>cot</t>
        </is>
      </c>
      <c r="G160" s="5" t="inlineStr">
        <is>
          <t>open_kg</t>
        </is>
      </c>
      <c r="H160" s="5" t="inlineStr">
        <is>
          <t>open_kg</t>
        </is>
      </c>
      <c r="I160" s="5" t="b">
        <v>1</v>
      </c>
      <c r="J160" s="5" t="b">
        <v>0</v>
      </c>
      <c r="K160" s="5" t="inlineStr">
        <is>
          <t>generation_failure</t>
        </is>
      </c>
      <c r="L160" s="5" t="n"/>
      <c r="M160" s="5" t="n">
        <v>0</v>
      </c>
      <c r="N160" s="5" t="n">
        <v>0</v>
      </c>
      <c r="O160" s="5" t="n">
        <v>26.38</v>
      </c>
    </row>
    <row r="161">
      <c r="A161" s="5" t="inlineStr">
        <is>
          <t>open_kg_007</t>
        </is>
      </c>
      <c r="B161" s="5" t="n">
        <v>1</v>
      </c>
      <c r="C161" s="5" t="inlineStr">
        <is>
          <t>open_kg</t>
        </is>
      </c>
      <c r="D161" s="5" t="inlineStr">
        <is>
          <t>cross</t>
        </is>
      </c>
      <c r="E161" s="5" t="inlineStr">
        <is>
          <t>fr</t>
        </is>
      </c>
      <c r="F161" s="5" t="inlineStr">
        <is>
          <t>zero-shot</t>
        </is>
      </c>
      <c r="G161" s="5" t="inlineStr">
        <is>
          <t>open_kg</t>
        </is>
      </c>
      <c r="H161" s="5" t="inlineStr">
        <is>
          <t>template</t>
        </is>
      </c>
      <c r="I161" s="5" t="b">
        <v>0</v>
      </c>
      <c r="J161" s="5" t="b">
        <v>0</v>
      </c>
      <c r="K161" s="5" t="inlineStr">
        <is>
          <t>sparql_build_failure</t>
        </is>
      </c>
      <c r="L161" s="5" t="inlineStr">
        <is>
          <t>params={'property': 'airport', 'mode': 'count'}</t>
        </is>
      </c>
      <c r="M161" s="5" t="n">
        <v>0</v>
      </c>
      <c r="N161" s="5" t="n">
        <v>0</v>
      </c>
      <c r="O161" s="5" t="n">
        <v>8</v>
      </c>
    </row>
    <row r="162">
      <c r="A162" s="5" t="inlineStr">
        <is>
          <t>open_kg_007</t>
        </is>
      </c>
      <c r="B162" s="5" t="n">
        <v>1</v>
      </c>
      <c r="C162" s="5" t="inlineStr">
        <is>
          <t>open_kg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few-shot</t>
        </is>
      </c>
      <c r="G162" s="5" t="inlineStr">
        <is>
          <t>open_kg</t>
        </is>
      </c>
      <c r="H162" s="5" t="inlineStr">
        <is>
          <t>template</t>
        </is>
      </c>
      <c r="I162" s="5" t="b">
        <v>0</v>
      </c>
      <c r="J162" s="5" t="b">
        <v>0</v>
      </c>
      <c r="K162" s="5" t="inlineStr">
        <is>
          <t>sparql_build_failure</t>
        </is>
      </c>
      <c r="L162" s="5" t="inlineStr">
        <is>
          <t>params={'property': 'airport', 'mode': 'count'}</t>
        </is>
      </c>
      <c r="M162" s="5" t="n">
        <v>0</v>
      </c>
      <c r="N162" s="5" t="n">
        <v>0</v>
      </c>
      <c r="O162" s="5" t="n">
        <v>7.95</v>
      </c>
    </row>
    <row r="163">
      <c r="A163" s="5" t="inlineStr">
        <is>
          <t>open_kg_007</t>
        </is>
      </c>
      <c r="B163" s="5" t="n">
        <v>1</v>
      </c>
      <c r="C163" s="5" t="inlineStr">
        <is>
          <t>open_kg</t>
        </is>
      </c>
      <c r="D163" s="5" t="inlineStr">
        <is>
          <t>cross</t>
        </is>
      </c>
      <c r="E163" s="5" t="inlineStr">
        <is>
          <t>fr</t>
        </is>
      </c>
      <c r="F163" s="5" t="inlineStr">
        <is>
          <t>cot</t>
        </is>
      </c>
      <c r="G163" s="5" t="inlineStr">
        <is>
          <t>open_kg</t>
        </is>
      </c>
      <c r="H163" s="5" t="inlineStr">
        <is>
          <t>template</t>
        </is>
      </c>
      <c r="I163" s="5" t="b">
        <v>0</v>
      </c>
      <c r="J163" s="5" t="b">
        <v>0</v>
      </c>
      <c r="K163" s="5" t="inlineStr">
        <is>
          <t>sparql_build_failure</t>
        </is>
      </c>
      <c r="L163" s="5" t="inlineStr">
        <is>
          <t>params={'property': 'airport', 'mode': 'count'}</t>
        </is>
      </c>
      <c r="M163" s="5" t="n">
        <v>0</v>
      </c>
      <c r="N163" s="5" t="n">
        <v>0</v>
      </c>
      <c r="O163" s="5" t="n">
        <v>8</v>
      </c>
    </row>
    <row r="164">
      <c r="A164" s="5" t="inlineStr">
        <is>
          <t>open_kg_007</t>
        </is>
      </c>
      <c r="B164" s="5" t="n">
        <v>1</v>
      </c>
      <c r="C164" s="5" t="inlineStr">
        <is>
          <t>open_kg</t>
        </is>
      </c>
      <c r="D164" s="5" t="inlineStr">
        <is>
          <t>cross</t>
        </is>
      </c>
      <c r="E164" s="5" t="inlineStr">
        <is>
          <t>ar</t>
        </is>
      </c>
      <c r="F164" s="5" t="inlineStr">
        <is>
          <t>zero-shot</t>
        </is>
      </c>
      <c r="G164" s="5" t="inlineStr">
        <is>
          <t>open_kg</t>
        </is>
      </c>
      <c r="H164" s="5" t="inlineStr">
        <is>
          <t>template</t>
        </is>
      </c>
      <c r="I164" s="5" t="b">
        <v>0</v>
      </c>
      <c r="J164" s="5" t="b">
        <v>0</v>
      </c>
      <c r="K164" s="5" t="inlineStr">
        <is>
          <t>sparql_build_failure</t>
        </is>
      </c>
      <c r="L164" s="5" t="inlineStr">
        <is>
          <t>params={'property': 'airport', 'mode': 'count'}</t>
        </is>
      </c>
      <c r="M164" s="5" t="n">
        <v>0</v>
      </c>
      <c r="N164" s="5" t="n">
        <v>0</v>
      </c>
      <c r="O164" s="5" t="n">
        <v>11.17</v>
      </c>
    </row>
    <row r="165">
      <c r="A165" s="5" t="inlineStr">
        <is>
          <t>open_kg_007</t>
        </is>
      </c>
      <c r="B165" s="5" t="n">
        <v>1</v>
      </c>
      <c r="C165" s="5" t="inlineStr">
        <is>
          <t>open_kg</t>
        </is>
      </c>
      <c r="D165" s="5" t="inlineStr">
        <is>
          <t>cross</t>
        </is>
      </c>
      <c r="E165" s="5" t="inlineStr">
        <is>
          <t>ar</t>
        </is>
      </c>
      <c r="F165" s="5" t="inlineStr">
        <is>
          <t>few-shot</t>
        </is>
      </c>
      <c r="G165" s="5" t="inlineStr">
        <is>
          <t>open_kg</t>
        </is>
      </c>
      <c r="H165" s="5" t="inlineStr">
        <is>
          <t>template</t>
        </is>
      </c>
      <c r="I165" s="5" t="b">
        <v>0</v>
      </c>
      <c r="J165" s="5" t="b">
        <v>0</v>
      </c>
      <c r="K165" s="5" t="inlineStr">
        <is>
          <t>sparql_build_failure</t>
        </is>
      </c>
      <c r="L165" s="5" t="inlineStr">
        <is>
          <t>params={'property': 'airport', 'mode': 'count'}</t>
        </is>
      </c>
      <c r="M165" s="5" t="n">
        <v>0</v>
      </c>
      <c r="N165" s="5" t="n">
        <v>0</v>
      </c>
      <c r="O165" s="5" t="n">
        <v>7.95</v>
      </c>
    </row>
    <row r="166">
      <c r="A166" s="5" t="inlineStr">
        <is>
          <t>open_kg_007</t>
        </is>
      </c>
      <c r="B166" s="5" t="n">
        <v>1</v>
      </c>
      <c r="C166" s="5" t="inlineStr">
        <is>
          <t>open_kg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cot</t>
        </is>
      </c>
      <c r="G166" s="5" t="inlineStr">
        <is>
          <t>open_kg</t>
        </is>
      </c>
      <c r="H166" s="5" t="inlineStr">
        <is>
          <t>template</t>
        </is>
      </c>
      <c r="I166" s="5" t="b">
        <v>0</v>
      </c>
      <c r="J166" s="5" t="b">
        <v>0</v>
      </c>
      <c r="K166" s="5" t="inlineStr">
        <is>
          <t>sparql_build_failure</t>
        </is>
      </c>
      <c r="L166" s="5" t="inlineStr">
        <is>
          <t>params={'property': 'airport', 'mode': 'count'}</t>
        </is>
      </c>
      <c r="M166" s="5" t="n">
        <v>0</v>
      </c>
      <c r="N166" s="5" t="n">
        <v>0</v>
      </c>
      <c r="O166" s="5" t="n">
        <v>8.01</v>
      </c>
    </row>
  </sheetData>
  <autoFilter ref="A1:O1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2026-08-25T01:42:48Z</dcterms:created>
  <dcterms:modified xsi:type="dcterms:W3CDTF">2026-08-25T01:42:48Z</dcterms:modified>
</cp:coreProperties>
</file>