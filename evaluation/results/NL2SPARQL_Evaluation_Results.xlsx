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COUNTIF(Raw!E2:E631,"en")</f>
        <v/>
      </c>
      <c r="C6" s="6">
        <f>IFERROR(COUNTIFS(Raw!E2:E631,"en",Raw!I2:I631,TRUE)/COUNTIF(Raw!E2:E631,"en"),"")</f>
        <v/>
      </c>
      <c r="D6" s="6">
        <f>IFERROR(COUNTIFS(Raw!E2:E631,"en",Raw!K2:K631,"success")/COUNTIF(Raw!E2:E631,"en"),"")</f>
        <v/>
      </c>
      <c r="E6" s="6">
        <f>IFERROR(COUNTIFS(Raw!E2:E631,"en",Raw!J2:J631,TRUE)/COUNTIF(Raw!E2:E631,"en"),"")</f>
        <v/>
      </c>
      <c r="F6" s="6">
        <f>IFERROR(AVERAGEIFS(Raw!M2:M631,Raw!E2:E631,"en"),"")</f>
        <v/>
      </c>
      <c r="G6" s="6">
        <f>IFERROR(AVERAGEIFS(Raw!N2:N631,Raw!E2:E631,"en"),"")</f>
        <v/>
      </c>
    </row>
    <row r="7">
      <c r="A7" s="5" t="inlineStr">
        <is>
          <t>fr</t>
        </is>
      </c>
      <c r="B7" s="5">
        <f>COUNTIF(Raw!E2:E631,"fr")</f>
        <v/>
      </c>
      <c r="C7" s="6">
        <f>IFERROR(COUNTIFS(Raw!E2:E631,"fr",Raw!I2:I631,TRUE)/COUNTIF(Raw!E2:E631,"fr"),"")</f>
        <v/>
      </c>
      <c r="D7" s="6">
        <f>IFERROR(COUNTIFS(Raw!E2:E631,"fr",Raw!K2:K631,"success")/COUNTIF(Raw!E2:E631,"fr"),"")</f>
        <v/>
      </c>
      <c r="E7" s="6">
        <f>IFERROR(COUNTIFS(Raw!E2:E631,"fr",Raw!J2:J631,TRUE)/COUNTIF(Raw!E2:E631,"fr"),"")</f>
        <v/>
      </c>
      <c r="F7" s="6">
        <f>IFERROR(AVERAGEIFS(Raw!M2:M631,Raw!E2:E631,"fr"),"")</f>
        <v/>
      </c>
      <c r="G7" s="6">
        <f>IFERROR(AVERAGEIFS(Raw!N2:N631,Raw!E2:E631,"fr"),"")</f>
        <v/>
      </c>
    </row>
    <row r="8">
      <c r="A8" s="5" t="inlineStr">
        <is>
          <t>ar</t>
        </is>
      </c>
      <c r="B8" s="5">
        <f>COUNTIF(Raw!E2:E631,"ar")</f>
        <v/>
      </c>
      <c r="C8" s="6">
        <f>IFERROR(COUNTIFS(Raw!E2:E631,"ar",Raw!I2:I631,TRUE)/COUNTIF(Raw!E2:E631,"ar"),"")</f>
        <v/>
      </c>
      <c r="D8" s="6">
        <f>IFERROR(COUNTIFS(Raw!E2:E631,"ar",Raw!K2:K631,"success")/COUNTIF(Raw!E2:E631,"ar"),"")</f>
        <v/>
      </c>
      <c r="E8" s="6">
        <f>IFERROR(COUNTIFS(Raw!E2:E631,"ar",Raw!J2:J631,TRUE)/COUNTIF(Raw!E2:E631,"ar"),"")</f>
        <v/>
      </c>
      <c r="F8" s="6">
        <f>IFERROR(AVERAGEIFS(Raw!M2:M631,Raw!E2:E631,"ar"),"")</f>
        <v/>
      </c>
      <c r="G8" s="6">
        <f>IFERROR(AVERAGEIFS(Raw!N2:N631,Raw!E2:E631,"ar"),"")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COUNTIF(Raw!F2:F631,"zero-shot")</f>
        <v/>
      </c>
      <c r="C12" s="6">
        <f>IFERROR(COUNTIFS(Raw!F2:F631,"zero-shot",Raw!I2:I631,TRUE)/COUNTIF(Raw!F2:F631,"zero-shot"),"")</f>
        <v/>
      </c>
      <c r="D12" s="6">
        <f>IFERROR(COUNTIFS(Raw!F2:F631,"zero-shot",Raw!K2:K631,"success")/COUNTIF(Raw!F2:F631,"zero-shot"),"")</f>
        <v/>
      </c>
      <c r="E12" s="6">
        <f>IFERROR(COUNTIFS(Raw!F2:F631,"zero-shot",Raw!J2:J631,TRUE)/COUNTIF(Raw!F2:F631,"zero-shot"),"")</f>
        <v/>
      </c>
      <c r="F12" s="6">
        <f>IFERROR(AVERAGEIFS(Raw!M2:M631,Raw!F2:F631,"zero-shot"),"")</f>
        <v/>
      </c>
      <c r="G12" s="6">
        <f>IFERROR(AVERAGEIFS(Raw!N2:N631,Raw!F2:F631,"zero-shot"),"")</f>
        <v/>
      </c>
    </row>
    <row r="13">
      <c r="A13" s="5" t="inlineStr">
        <is>
          <t>few-shot</t>
        </is>
      </c>
      <c r="B13" s="5">
        <f>COUNTIF(Raw!F2:F631,"few-shot")</f>
        <v/>
      </c>
      <c r="C13" s="6">
        <f>IFERROR(COUNTIFS(Raw!F2:F631,"few-shot",Raw!I2:I631,TRUE)/COUNTIF(Raw!F2:F631,"few-shot"),"")</f>
        <v/>
      </c>
      <c r="D13" s="6">
        <f>IFERROR(COUNTIFS(Raw!F2:F631,"few-shot",Raw!K2:K631,"success")/COUNTIF(Raw!F2:F631,"few-shot"),"")</f>
        <v/>
      </c>
      <c r="E13" s="6">
        <f>IFERROR(COUNTIFS(Raw!F2:F631,"few-shot",Raw!J2:J631,TRUE)/COUNTIF(Raw!F2:F631,"few-shot"),"")</f>
        <v/>
      </c>
      <c r="F13" s="6">
        <f>IFERROR(AVERAGEIFS(Raw!M2:M631,Raw!F2:F631,"few-shot"),"")</f>
        <v/>
      </c>
      <c r="G13" s="6">
        <f>IFERROR(AVERAGEIFS(Raw!N2:N631,Raw!F2:F631,"few-shot"),"")</f>
        <v/>
      </c>
    </row>
    <row r="14">
      <c r="A14" s="5" t="inlineStr">
        <is>
          <t>cot</t>
        </is>
      </c>
      <c r="B14" s="5">
        <f>COUNTIF(Raw!F2:F631,"cot")</f>
        <v/>
      </c>
      <c r="C14" s="6">
        <f>IFERROR(COUNTIFS(Raw!F2:F631,"cot",Raw!I2:I631,TRUE)/COUNTIF(Raw!F2:F631,"cot"),"")</f>
        <v/>
      </c>
      <c r="D14" s="6">
        <f>IFERROR(COUNTIFS(Raw!F2:F631,"cot",Raw!K2:K631,"success")/COUNTIF(Raw!F2:F631,"cot"),"")</f>
        <v/>
      </c>
      <c r="E14" s="6">
        <f>IFERROR(COUNTIFS(Raw!F2:F631,"cot",Raw!J2:J631,TRUE)/COUNTIF(Raw!F2:F631,"cot"),"")</f>
        <v/>
      </c>
      <c r="F14" s="6">
        <f>IFERROR(AVERAGEIFS(Raw!M2:M631,Raw!F2:F631,"cot"),"")</f>
        <v/>
      </c>
      <c r="G14" s="6">
        <f>IFERROR(AVERAGEIFS(Raw!N2:N631,Raw!F2:F631,"cot"),"")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COUNTIF(Raw!B2:B631,"1")</f>
        <v/>
      </c>
      <c r="C18" s="6">
        <f>IFERROR(COUNTIFS(Raw!B2:B631,"1",Raw!I2:I631,TRUE)/COUNTIF(Raw!B2:B631,"1"),"")</f>
        <v/>
      </c>
      <c r="D18" s="6">
        <f>IFERROR(COUNTIFS(Raw!B2:B631,"1",Raw!K2:K631,"success")/COUNTIF(Raw!B2:B631,"1"),"")</f>
        <v/>
      </c>
      <c r="E18" s="6">
        <f>IFERROR(COUNTIFS(Raw!B2:B631,"1",Raw!J2:J631,TRUE)/COUNTIF(Raw!B2:B631,"1"),"")</f>
        <v/>
      </c>
      <c r="F18" s="6">
        <f>IFERROR(AVERAGEIFS(Raw!M2:M631,Raw!B2:B631,"1"),"")</f>
        <v/>
      </c>
      <c r="G18" s="6">
        <f>IFERROR(AVERAGEIFS(Raw!N2:N631,Raw!B2:B631,"1"),"")</f>
        <v/>
      </c>
    </row>
    <row r="19">
      <c r="A19" s="5" t="n">
        <v>2</v>
      </c>
      <c r="B19" s="5">
        <f>COUNTIF(Raw!B2:B631,"2")</f>
        <v/>
      </c>
      <c r="C19" s="6">
        <f>IFERROR(COUNTIFS(Raw!B2:B631,"2",Raw!I2:I631,TRUE)/COUNTIF(Raw!B2:B631,"2"),"")</f>
        <v/>
      </c>
      <c r="D19" s="6">
        <f>IFERROR(COUNTIFS(Raw!B2:B631,"2",Raw!K2:K631,"success")/COUNTIF(Raw!B2:B631,"2"),"")</f>
        <v/>
      </c>
      <c r="E19" s="6">
        <f>IFERROR(COUNTIFS(Raw!B2:B631,"2",Raw!J2:J631,TRUE)/COUNTIF(Raw!B2:B631,"2"),"")</f>
        <v/>
      </c>
      <c r="F19" s="6">
        <f>IFERROR(AVERAGEIFS(Raw!M2:M631,Raw!B2:B631,"2"),"")</f>
        <v/>
      </c>
      <c r="G19" s="6">
        <f>IFERROR(AVERAGEIFS(Raw!N2:N631,Raw!B2:B631,"2"),"")</f>
        <v/>
      </c>
    </row>
    <row r="20">
      <c r="A20" s="5" t="n">
        <v>3</v>
      </c>
      <c r="B20" s="5">
        <f>COUNTIF(Raw!B2:B631,"3")</f>
        <v/>
      </c>
      <c r="C20" s="6">
        <f>IFERROR(COUNTIFS(Raw!B2:B631,"3",Raw!I2:I631,TRUE)/COUNTIF(Raw!B2:B631,"3"),"")</f>
        <v/>
      </c>
      <c r="D20" s="6">
        <f>IFERROR(COUNTIFS(Raw!B2:B631,"3",Raw!K2:K631,"success")/COUNTIF(Raw!B2:B631,"3"),"")</f>
        <v/>
      </c>
      <c r="E20" s="6">
        <f>IFERROR(COUNTIFS(Raw!B2:B631,"3",Raw!J2:J631,TRUE)/COUNTIF(Raw!B2:B631,"3"),"")</f>
        <v/>
      </c>
      <c r="F20" s="6">
        <f>IFERROR(AVERAGEIFS(Raw!M2:M631,Raw!B2:B631,"3"),"")</f>
        <v/>
      </c>
      <c r="G20" s="6">
        <f>IFERROR(AVERAGEIFS(Raw!N2:N631,Raw!B2:B631,"3"),"")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COUNTIF(Raw!C2:C631,"single_kg1")</f>
        <v/>
      </c>
      <c r="C24" s="6">
        <f>IFERROR(COUNTIFS(Raw!C2:C631,"single_kg1",Raw!I2:I631,TRUE)/COUNTIF(Raw!C2:C631,"single_kg1"),"")</f>
        <v/>
      </c>
      <c r="D24" s="6">
        <f>IFERROR(COUNTIFS(Raw!C2:C631,"single_kg1",Raw!K2:K631,"success")/COUNTIF(Raw!C2:C631,"single_kg1"),"")</f>
        <v/>
      </c>
      <c r="E24" s="6">
        <f>IFERROR(COUNTIFS(Raw!C2:C631,"single_kg1",Raw!J2:J631,TRUE)/COUNTIF(Raw!C2:C631,"single_kg1"),"")</f>
        <v/>
      </c>
      <c r="F24" s="6">
        <f>IFERROR(AVERAGEIFS(Raw!M2:M631,Raw!C2:C631,"single_kg1"),"")</f>
        <v/>
      </c>
      <c r="G24" s="6">
        <f>IFERROR(AVERAGEIFS(Raw!N2:N631,Raw!C2:C631,"single_kg1"),"")</f>
        <v/>
      </c>
    </row>
    <row r="25">
      <c r="A25" s="5" t="inlineStr">
        <is>
          <t>single_kg2</t>
        </is>
      </c>
      <c r="B25" s="5">
        <f>COUNTIF(Raw!C2:C631,"single_kg2")</f>
        <v/>
      </c>
      <c r="C25" s="6">
        <f>IFERROR(COUNTIFS(Raw!C2:C631,"single_kg2",Raw!I2:I631,TRUE)/COUNTIF(Raw!C2:C631,"single_kg2"),"")</f>
        <v/>
      </c>
      <c r="D25" s="6">
        <f>IFERROR(COUNTIFS(Raw!C2:C631,"single_kg2",Raw!K2:K631,"success")/COUNTIF(Raw!C2:C631,"single_kg2"),"")</f>
        <v/>
      </c>
      <c r="E25" s="6">
        <f>IFERROR(COUNTIFS(Raw!C2:C631,"single_kg2",Raw!J2:J631,TRUE)/COUNTIF(Raw!C2:C631,"single_kg2"),"")</f>
        <v/>
      </c>
      <c r="F25" s="6">
        <f>IFERROR(AVERAGEIFS(Raw!M2:M631,Raw!C2:C631,"single_kg2"),"")</f>
        <v/>
      </c>
      <c r="G25" s="6">
        <f>IFERROR(AVERAGEIFS(Raw!N2:N631,Raw!C2:C631,"single_kg2"),"")</f>
        <v/>
      </c>
    </row>
    <row r="26">
      <c r="A26" s="5" t="inlineStr">
        <is>
          <t>single_kg3</t>
        </is>
      </c>
      <c r="B26" s="5">
        <f>COUNTIF(Raw!C2:C631,"single_kg3")</f>
        <v/>
      </c>
      <c r="C26" s="6">
        <f>IFERROR(COUNTIFS(Raw!C2:C631,"single_kg3",Raw!I2:I631,TRUE)/COUNTIF(Raw!C2:C631,"single_kg3"),"")</f>
        <v/>
      </c>
      <c r="D26" s="6">
        <f>IFERROR(COUNTIFS(Raw!C2:C631,"single_kg3",Raw!K2:K631,"success")/COUNTIF(Raw!C2:C631,"single_kg3"),"")</f>
        <v/>
      </c>
      <c r="E26" s="6">
        <f>IFERROR(COUNTIFS(Raw!C2:C631,"single_kg3",Raw!J2:J631,TRUE)/COUNTIF(Raw!C2:C631,"single_kg3"),"")</f>
        <v/>
      </c>
      <c r="F26" s="6">
        <f>IFERROR(AVERAGEIFS(Raw!M2:M631,Raw!C2:C631,"single_kg3"),"")</f>
        <v/>
      </c>
      <c r="G26" s="6">
        <f>IFERROR(AVERAGEIFS(Raw!N2:N631,Raw!C2:C631,"single_kg3"),"")</f>
        <v/>
      </c>
    </row>
    <row r="27">
      <c r="A27" s="5" t="inlineStr">
        <is>
          <t>cross_kg</t>
        </is>
      </c>
      <c r="B27" s="5">
        <f>COUNTIF(Raw!C2:C631,"cross_kg")</f>
        <v/>
      </c>
      <c r="C27" s="6">
        <f>IFERROR(COUNTIFS(Raw!C2:C631,"cross_kg",Raw!I2:I631,TRUE)/COUNTIF(Raw!C2:C631,"cross_kg"),"")</f>
        <v/>
      </c>
      <c r="D27" s="6">
        <f>IFERROR(COUNTIFS(Raw!C2:C631,"cross_kg",Raw!K2:K631,"success")/COUNTIF(Raw!C2:C631,"cross_kg"),"")</f>
        <v/>
      </c>
      <c r="E27" s="6">
        <f>IFERROR(COUNTIFS(Raw!C2:C631,"cross_kg",Raw!J2:J631,TRUE)/COUNTIF(Raw!C2:C631,"cross_kg"),"")</f>
        <v/>
      </c>
      <c r="F27" s="6">
        <f>IFERROR(AVERAGEIFS(Raw!M2:M631,Raw!C2:C631,"cross_kg"),"")</f>
        <v/>
      </c>
      <c r="G27" s="6">
        <f>IFERROR(AVERAGEIFS(Raw!N2:N631,Raw!C2:C631,"cross_kg"),"")</f>
        <v/>
      </c>
    </row>
    <row r="28">
      <c r="A28" s="5" t="inlineStr">
        <is>
          <t>open_kg</t>
        </is>
      </c>
      <c r="B28" s="5">
        <f>COUNTIF(Raw!C2:C631,"open_kg")</f>
        <v/>
      </c>
      <c r="C28" s="6">
        <f>IFERROR(COUNTIFS(Raw!C2:C631,"open_kg",Raw!I2:I631,TRUE)/COUNTIF(Raw!C2:C631,"open_kg"),"")</f>
        <v/>
      </c>
      <c r="D28" s="6">
        <f>IFERROR(COUNTIFS(Raw!C2:C631,"open_kg",Raw!K2:K631,"success")/COUNTIF(Raw!C2:C631,"open_kg"),"")</f>
        <v/>
      </c>
      <c r="E28" s="6">
        <f>IFERROR(COUNTIFS(Raw!C2:C631,"open_kg",Raw!J2:J631,TRUE)/COUNTIF(Raw!C2:C631,"open_kg"),"")</f>
        <v/>
      </c>
      <c r="F28" s="6">
        <f>IFERROR(AVERAGEIFS(Raw!M2:M631,Raw!C2:C631,"open_kg"),"")</f>
        <v/>
      </c>
      <c r="G28" s="6">
        <f>IFERROR(AVERAGEIFS(Raw!N2:N631,Raw!C2:C631,"open_kg"),"")</f>
        <v/>
      </c>
    </row>
    <row r="29">
      <c r="A29" s="5" t="inlineStr">
        <is>
          <t>count_kg1</t>
        </is>
      </c>
      <c r="B29" s="5">
        <f>COUNTIF(Raw!C2:C631,"count_kg1")</f>
        <v/>
      </c>
      <c r="C29" s="6">
        <f>IFERROR(COUNTIFS(Raw!C2:C631,"count_kg1",Raw!I2:I631,TRUE)/COUNTIF(Raw!C2:C631,"count_kg1"),"")</f>
        <v/>
      </c>
      <c r="D29" s="6">
        <f>IFERROR(COUNTIFS(Raw!C2:C631,"count_kg1",Raw!K2:K631,"success")/COUNTIF(Raw!C2:C631,"count_kg1"),"")</f>
        <v/>
      </c>
      <c r="E29" s="6">
        <f>IFERROR(COUNTIFS(Raw!C2:C631,"count_kg1",Raw!J2:J631,TRUE)/COUNTIF(Raw!C2:C631,"count_kg1"),"")</f>
        <v/>
      </c>
      <c r="F29" s="6">
        <f>IFERROR(AVERAGEIFS(Raw!M2:M631,Raw!C2:C631,"count_kg1"),"")</f>
        <v/>
      </c>
      <c r="G29" s="6">
        <f>IFERROR(AVERAGEIFS(Raw!N2:N631,Raw!C2:C631,"count_kg1"),"")</f>
        <v/>
      </c>
    </row>
    <row r="30">
      <c r="A30" s="5" t="inlineStr">
        <is>
          <t>count_kg2</t>
        </is>
      </c>
      <c r="B30" s="5">
        <f>COUNTIF(Raw!C2:C631,"count_kg2")</f>
        <v/>
      </c>
      <c r="C30" s="6">
        <f>IFERROR(COUNTIFS(Raw!C2:C631,"count_kg2",Raw!I2:I631,TRUE)/COUNTIF(Raw!C2:C631,"count_kg2"),"")</f>
        <v/>
      </c>
      <c r="D30" s="6">
        <f>IFERROR(COUNTIFS(Raw!C2:C631,"count_kg2",Raw!K2:K631,"success")/COUNTIF(Raw!C2:C631,"count_kg2"),"")</f>
        <v/>
      </c>
      <c r="E30" s="6">
        <f>IFERROR(COUNTIFS(Raw!C2:C631,"count_kg2",Raw!J2:J631,TRUE)/COUNTIF(Raw!C2:C631,"count_kg2"),"")</f>
        <v/>
      </c>
      <c r="F30" s="6">
        <f>IFERROR(AVERAGEIFS(Raw!M2:M631,Raw!C2:C631,"count_kg2"),"")</f>
        <v/>
      </c>
      <c r="G30" s="6">
        <f>IFERROR(AVERAGEIFS(Raw!N2:N631,Raw!C2:C631,"count_kg2"),"")</f>
        <v/>
      </c>
    </row>
    <row r="31">
      <c r="A31" s="5" t="inlineStr">
        <is>
          <t>count_kg3</t>
        </is>
      </c>
      <c r="B31" s="5">
        <f>COUNTIF(Raw!C2:C631,"count_kg3")</f>
        <v/>
      </c>
      <c r="C31" s="6">
        <f>IFERROR(COUNTIFS(Raw!C2:C631,"count_kg3",Raw!I2:I631,TRUE)/COUNTIF(Raw!C2:C631,"count_kg3"),"")</f>
        <v/>
      </c>
      <c r="D31" s="6">
        <f>IFERROR(COUNTIFS(Raw!C2:C631,"count_kg3",Raw!K2:K631,"success")/COUNTIF(Raw!C2:C631,"count_kg3"),"")</f>
        <v/>
      </c>
      <c r="E31" s="6">
        <f>IFERROR(COUNTIFS(Raw!C2:C631,"count_kg3",Raw!J2:J631,TRUE)/COUNTIF(Raw!C2:C631,"count_kg3"),"")</f>
        <v/>
      </c>
      <c r="F31" s="6">
        <f>IFERROR(AVERAGEIFS(Raw!M2:M631,Raw!C2:C631,"count_kg3"),"")</f>
        <v/>
      </c>
      <c r="G31" s="6">
        <f>IFERROR(AVERAGEIFS(Raw!N2:N631,Raw!C2:C631,"count_kg3"),"")</f>
        <v/>
      </c>
    </row>
    <row r="32">
      <c r="A32" s="5" t="inlineStr">
        <is>
          <t>filter_numeric_kg1</t>
        </is>
      </c>
      <c r="B32" s="5">
        <f>COUNTIF(Raw!C2:C631,"filter_numeric_kg1")</f>
        <v/>
      </c>
      <c r="C32" s="6">
        <f>IFERROR(COUNTIFS(Raw!C2:C631,"filter_numeric_kg1",Raw!I2:I631,TRUE)/COUNTIF(Raw!C2:C631,"filter_numeric_kg1"),"")</f>
        <v/>
      </c>
      <c r="D32" s="6">
        <f>IFERROR(COUNTIFS(Raw!C2:C631,"filter_numeric_kg1",Raw!K2:K631,"success")/COUNTIF(Raw!C2:C631,"filter_numeric_kg1"),"")</f>
        <v/>
      </c>
      <c r="E32" s="6">
        <f>IFERROR(COUNTIFS(Raw!C2:C631,"filter_numeric_kg1",Raw!J2:J631,TRUE)/COUNTIF(Raw!C2:C631,"filter_numeric_kg1"),"")</f>
        <v/>
      </c>
      <c r="F32" s="6">
        <f>IFERROR(AVERAGEIFS(Raw!M2:M631,Raw!C2:C631,"filter_numeric_kg1"),"")</f>
        <v/>
      </c>
      <c r="G32" s="6">
        <f>IFERROR(AVERAGEIFS(Raw!N2:N631,Raw!C2:C631,"filter_numeric_kg1"),"")</f>
        <v/>
      </c>
    </row>
    <row r="33">
      <c r="A33" s="5" t="inlineStr">
        <is>
          <t>filter_numeric_kg2</t>
        </is>
      </c>
      <c r="B33" s="5">
        <f>COUNTIF(Raw!C2:C631,"filter_numeric_kg2")</f>
        <v/>
      </c>
      <c r="C33" s="6">
        <f>IFERROR(COUNTIFS(Raw!C2:C631,"filter_numeric_kg2",Raw!I2:I631,TRUE)/COUNTIF(Raw!C2:C631,"filter_numeric_kg2"),"")</f>
        <v/>
      </c>
      <c r="D33" s="6">
        <f>IFERROR(COUNTIFS(Raw!C2:C631,"filter_numeric_kg2",Raw!K2:K631,"success")/COUNTIF(Raw!C2:C631,"filter_numeric_kg2"),"")</f>
        <v/>
      </c>
      <c r="E33" s="6">
        <f>IFERROR(COUNTIFS(Raw!C2:C631,"filter_numeric_kg2",Raw!J2:J631,TRUE)/COUNTIF(Raw!C2:C631,"filter_numeric_kg2"),"")</f>
        <v/>
      </c>
      <c r="F33" s="6">
        <f>IFERROR(AVERAGEIFS(Raw!M2:M631,Raw!C2:C631,"filter_numeric_kg2"),"")</f>
        <v/>
      </c>
      <c r="G33" s="6">
        <f>IFERROR(AVERAGEIFS(Raw!N2:N631,Raw!C2:C631,"filter_numeric_kg2"),"")</f>
        <v/>
      </c>
    </row>
    <row r="34">
      <c r="A34" s="5" t="inlineStr">
        <is>
          <t>filter_numeric_kg3</t>
        </is>
      </c>
      <c r="B34" s="5">
        <f>COUNTIF(Raw!C2:C631,"filter_numeric_kg3")</f>
        <v/>
      </c>
      <c r="C34" s="6">
        <f>IFERROR(COUNTIFS(Raw!C2:C631,"filter_numeric_kg3",Raw!I2:I631,TRUE)/COUNTIF(Raw!C2:C631,"filter_numeric_kg3"),"")</f>
        <v/>
      </c>
      <c r="D34" s="6">
        <f>IFERROR(COUNTIFS(Raw!C2:C631,"filter_numeric_kg3",Raw!K2:K631,"success")/COUNTIF(Raw!C2:C631,"filter_numeric_kg3"),"")</f>
        <v/>
      </c>
      <c r="E34" s="6">
        <f>IFERROR(COUNTIFS(Raw!C2:C631,"filter_numeric_kg3",Raw!J2:J631,TRUE)/COUNTIF(Raw!C2:C631,"filter_numeric_kg3"),"")</f>
        <v/>
      </c>
      <c r="F34" s="6">
        <f>IFERROR(AVERAGEIFS(Raw!M2:M631,Raw!C2:C631,"filter_numeric_kg3"),"")</f>
        <v/>
      </c>
      <c r="G34" s="6">
        <f>IFERROR(AVERAGEIFS(Raw!N2:N631,Raw!C2:C631,"filter_numeric_kg3"),"")</f>
        <v/>
      </c>
    </row>
    <row r="35">
      <c r="A35" s="5" t="inlineStr">
        <is>
          <t>filter_string_kg2</t>
        </is>
      </c>
      <c r="B35" s="5">
        <f>COUNTIF(Raw!C2:C631,"filter_string_kg2")</f>
        <v/>
      </c>
      <c r="C35" s="6">
        <f>IFERROR(COUNTIFS(Raw!C2:C631,"filter_string_kg2",Raw!I2:I631,TRUE)/COUNTIF(Raw!C2:C631,"filter_string_kg2"),"")</f>
        <v/>
      </c>
      <c r="D35" s="6">
        <f>IFERROR(COUNTIFS(Raw!C2:C631,"filter_string_kg2",Raw!K2:K631,"success")/COUNTIF(Raw!C2:C631,"filter_string_kg2"),"")</f>
        <v/>
      </c>
      <c r="E35" s="6">
        <f>IFERROR(COUNTIFS(Raw!C2:C631,"filter_string_kg2",Raw!J2:J631,TRUE)/COUNTIF(Raw!C2:C631,"filter_string_kg2"),"")</f>
        <v/>
      </c>
      <c r="F35" s="6">
        <f>IFERROR(AVERAGEIFS(Raw!M2:M631,Raw!C2:C631,"filter_string_kg2"),"")</f>
        <v/>
      </c>
      <c r="G35" s="6">
        <f>IFERROR(AVERAGEIFS(Raw!N2:N631,Raw!C2:C631,"filter_string_kg2"),"")</f>
        <v/>
      </c>
    </row>
    <row r="36">
      <c r="A36" s="5" t="inlineStr">
        <is>
          <t>filter_string_kg3</t>
        </is>
      </c>
      <c r="B36" s="5">
        <f>COUNTIF(Raw!C2:C631,"filter_string_kg3")</f>
        <v/>
      </c>
      <c r="C36" s="6">
        <f>IFERROR(COUNTIFS(Raw!C2:C631,"filter_string_kg3",Raw!I2:I631,TRUE)/COUNTIF(Raw!C2:C631,"filter_string_kg3"),"")</f>
        <v/>
      </c>
      <c r="D36" s="6">
        <f>IFERROR(COUNTIFS(Raw!C2:C631,"filter_string_kg3",Raw!K2:K631,"success")/COUNTIF(Raw!C2:C631,"filter_string_kg3"),"")</f>
        <v/>
      </c>
      <c r="E36" s="6">
        <f>IFERROR(COUNTIFS(Raw!C2:C631,"filter_string_kg3",Raw!J2:J631,TRUE)/COUNTIF(Raw!C2:C631,"filter_string_kg3"),"")</f>
        <v/>
      </c>
      <c r="F36" s="6">
        <f>IFERROR(AVERAGEIFS(Raw!M2:M631,Raw!C2:C631,"filter_string_kg3"),"")</f>
        <v/>
      </c>
      <c r="G36" s="6">
        <f>IFERROR(AVERAGEIFS(Raw!N2:N631,Raw!C2:C631,"filter_string_kg3"),"")</f>
        <v/>
      </c>
    </row>
    <row r="37">
      <c r="A37" s="5" t="inlineStr">
        <is>
          <t>ranking_kg1</t>
        </is>
      </c>
      <c r="B37" s="5">
        <f>COUNTIF(Raw!C2:C631,"ranking_kg1")</f>
        <v/>
      </c>
      <c r="C37" s="6">
        <f>IFERROR(COUNTIFS(Raw!C2:C631,"ranking_kg1",Raw!I2:I631,TRUE)/COUNTIF(Raw!C2:C631,"ranking_kg1"),"")</f>
        <v/>
      </c>
      <c r="D37" s="6">
        <f>IFERROR(COUNTIFS(Raw!C2:C631,"ranking_kg1",Raw!K2:K631,"success")/COUNTIF(Raw!C2:C631,"ranking_kg1"),"")</f>
        <v/>
      </c>
      <c r="E37" s="6">
        <f>IFERROR(COUNTIFS(Raw!C2:C631,"ranking_kg1",Raw!J2:J631,TRUE)/COUNTIF(Raw!C2:C631,"ranking_kg1"),"")</f>
        <v/>
      </c>
      <c r="F37" s="6">
        <f>IFERROR(AVERAGEIFS(Raw!M2:M631,Raw!C2:C631,"ranking_kg1"),"")</f>
        <v/>
      </c>
      <c r="G37" s="6">
        <f>IFERROR(AVERAGEIFS(Raw!N2:N631,Raw!C2:C631,"ranking_kg1"),"")</f>
        <v/>
      </c>
    </row>
    <row r="38">
      <c r="A38" s="5" t="inlineStr">
        <is>
          <t>ranking_kg2</t>
        </is>
      </c>
      <c r="B38" s="5">
        <f>COUNTIF(Raw!C2:C631,"ranking_kg2")</f>
        <v/>
      </c>
      <c r="C38" s="6">
        <f>IFERROR(COUNTIFS(Raw!C2:C631,"ranking_kg2",Raw!I2:I631,TRUE)/COUNTIF(Raw!C2:C631,"ranking_kg2"),"")</f>
        <v/>
      </c>
      <c r="D38" s="6">
        <f>IFERROR(COUNTIFS(Raw!C2:C631,"ranking_kg2",Raw!K2:K631,"success")/COUNTIF(Raw!C2:C631,"ranking_kg2"),"")</f>
        <v/>
      </c>
      <c r="E38" s="6">
        <f>IFERROR(COUNTIFS(Raw!C2:C631,"ranking_kg2",Raw!J2:J631,TRUE)/COUNTIF(Raw!C2:C631,"ranking_kg2"),"")</f>
        <v/>
      </c>
      <c r="F38" s="6">
        <f>IFERROR(AVERAGEIFS(Raw!M2:M631,Raw!C2:C631,"ranking_kg2"),"")</f>
        <v/>
      </c>
      <c r="G38" s="6">
        <f>IFERROR(AVERAGEIFS(Raw!N2:N631,Raw!C2:C631,"ranking_kg2"),"")</f>
        <v/>
      </c>
    </row>
    <row r="39">
      <c r="A39" s="5" t="inlineStr">
        <is>
          <t>ranking_kg3</t>
        </is>
      </c>
      <c r="B39" s="5">
        <f>COUNTIF(Raw!C2:C631,"ranking_kg3")</f>
        <v/>
      </c>
      <c r="C39" s="6">
        <f>IFERROR(COUNTIFS(Raw!C2:C631,"ranking_kg3",Raw!I2:I631,TRUE)/COUNTIF(Raw!C2:C631,"ranking_kg3"),"")</f>
        <v/>
      </c>
      <c r="D39" s="6">
        <f>IFERROR(COUNTIFS(Raw!C2:C631,"ranking_kg3",Raw!K2:K631,"success")/COUNTIF(Raw!C2:C631,"ranking_kg3"),"")</f>
        <v/>
      </c>
      <c r="E39" s="6">
        <f>IFERROR(COUNTIFS(Raw!C2:C631,"ranking_kg3",Raw!J2:J631,TRUE)/COUNTIF(Raw!C2:C631,"ranking_kg3"),"")</f>
        <v/>
      </c>
      <c r="F39" s="6">
        <f>IFERROR(AVERAGEIFS(Raw!M2:M631,Raw!C2:C631,"ranking_kg3"),"")</f>
        <v/>
      </c>
      <c r="G39" s="6">
        <f>IFERROR(AVERAGEIFS(Raw!N2:N631,Raw!C2:C631,"ranking_kg3"),"")</f>
        <v/>
      </c>
    </row>
    <row r="40">
      <c r="A40" s="5" t="inlineStr">
        <is>
          <t>compare_two_airports</t>
        </is>
      </c>
      <c r="B40" s="5">
        <f>COUNTIF(Raw!C2:C631,"compare_two_airports")</f>
        <v/>
      </c>
      <c r="C40" s="6">
        <f>IFERROR(COUNTIFS(Raw!C2:C631,"compare_two_airports",Raw!I2:I631,TRUE)/COUNTIF(Raw!C2:C631,"compare_two_airports"),"")</f>
        <v/>
      </c>
      <c r="D40" s="6">
        <f>IFERROR(COUNTIFS(Raw!C2:C631,"compare_two_airports",Raw!K2:K631,"success")/COUNTIF(Raw!C2:C631,"compare_two_airports"),"")</f>
        <v/>
      </c>
      <c r="E40" s="6">
        <f>IFERROR(COUNTIFS(Raw!C2:C631,"compare_two_airports",Raw!J2:J631,TRUE)/COUNTIF(Raw!C2:C631,"compare_two_airports"),"")</f>
        <v/>
      </c>
      <c r="F40" s="6">
        <f>IFERROR(AVERAGEIFS(Raw!M2:M631,Raw!C2:C631,"compare_two_airports"),"")</f>
        <v/>
      </c>
      <c r="G40" s="6">
        <f>IFERROR(AVERAGEIFS(Raw!N2:N631,Raw!C2:C631,"compare_two_airports"),"")</f>
        <v/>
      </c>
    </row>
    <row r="41">
      <c r="A41" s="5" t="inlineStr">
        <is>
          <t>compare_two_flights</t>
        </is>
      </c>
      <c r="B41" s="5">
        <f>COUNTIF(Raw!C2:C631,"compare_two_flights")</f>
        <v/>
      </c>
      <c r="C41" s="6">
        <f>IFERROR(COUNTIFS(Raw!C2:C631,"compare_two_flights",Raw!I2:I631,TRUE)/COUNTIF(Raw!C2:C631,"compare_two_flights"),"")</f>
        <v/>
      </c>
      <c r="D41" s="6">
        <f>IFERROR(COUNTIFS(Raw!C2:C631,"compare_two_flights",Raw!K2:K631,"success")/COUNTIF(Raw!C2:C631,"compare_two_flights"),"")</f>
        <v/>
      </c>
      <c r="E41" s="6">
        <f>IFERROR(COUNTIFS(Raw!C2:C631,"compare_two_flights",Raw!J2:J631,TRUE)/COUNTIF(Raw!C2:C631,"compare_two_flights"),"")</f>
        <v/>
      </c>
      <c r="F41" s="6">
        <f>IFERROR(AVERAGEIFS(Raw!M2:M631,Raw!C2:C631,"compare_two_flights"),"")</f>
        <v/>
      </c>
      <c r="G41" s="6">
        <f>IFERROR(AVERAGEIFS(Raw!N2:N631,Raw!C2:C631,"compare_two_flights"),"")</f>
        <v/>
      </c>
    </row>
    <row r="42">
      <c r="A42" s="5" t="inlineStr">
        <is>
          <t>compare_two_departments</t>
        </is>
      </c>
      <c r="B42" s="5">
        <f>COUNTIF(Raw!C2:C631,"compare_two_departments")</f>
        <v/>
      </c>
      <c r="C42" s="6">
        <f>IFERROR(COUNTIFS(Raw!C2:C631,"compare_two_departments",Raw!I2:I631,TRUE)/COUNTIF(Raw!C2:C631,"compare_two_departments"),"")</f>
        <v/>
      </c>
      <c r="D42" s="6">
        <f>IFERROR(COUNTIFS(Raw!C2:C631,"compare_two_departments",Raw!K2:K631,"success")/COUNTIF(Raw!C2:C631,"compare_two_departments"),"")</f>
        <v/>
      </c>
      <c r="E42" s="6">
        <f>IFERROR(COUNTIFS(Raw!C2:C631,"compare_two_departments",Raw!J2:J631,TRUE)/COUNTIF(Raw!C2:C631,"compare_two_departments"),"")</f>
        <v/>
      </c>
      <c r="F42" s="6">
        <f>IFERROR(AVERAGEIFS(Raw!M2:M631,Raw!C2:C631,"compare_two_departments"),"")</f>
        <v/>
      </c>
      <c r="G42" s="6">
        <f>IFERROR(AVERAGEIFS(Raw!N2:N631,Raw!C2:C631,"compare_two_departments"),"")</f>
        <v/>
      </c>
    </row>
    <row r="43">
      <c r="A43" s="5" t="inlineStr">
        <is>
          <t>group_aggregate_kg1</t>
        </is>
      </c>
      <c r="B43" s="5">
        <f>COUNTIF(Raw!C2:C631,"group_aggregate_kg1")</f>
        <v/>
      </c>
      <c r="C43" s="6">
        <f>IFERROR(COUNTIFS(Raw!C2:C631,"group_aggregate_kg1",Raw!I2:I631,TRUE)/COUNTIF(Raw!C2:C631,"group_aggregate_kg1"),"")</f>
        <v/>
      </c>
      <c r="D43" s="6">
        <f>IFERROR(COUNTIFS(Raw!C2:C631,"group_aggregate_kg1",Raw!K2:K631,"success")/COUNTIF(Raw!C2:C631,"group_aggregate_kg1"),"")</f>
        <v/>
      </c>
      <c r="E43" s="6">
        <f>IFERROR(COUNTIFS(Raw!C2:C631,"group_aggregate_kg1",Raw!J2:J631,TRUE)/COUNTIF(Raw!C2:C631,"group_aggregate_kg1"),"")</f>
        <v/>
      </c>
      <c r="F43" s="6">
        <f>IFERROR(AVERAGEIFS(Raw!M2:M631,Raw!C2:C631,"group_aggregate_kg1"),"")</f>
        <v/>
      </c>
      <c r="G43" s="6">
        <f>IFERROR(AVERAGEIFS(Raw!N2:N631,Raw!C2:C631,"group_aggregate_kg1"),"")</f>
        <v/>
      </c>
    </row>
    <row r="44">
      <c r="A44" s="5" t="inlineStr">
        <is>
          <t>group_aggregate_kg2</t>
        </is>
      </c>
      <c r="B44" s="5">
        <f>COUNTIF(Raw!C2:C631,"group_aggregate_kg2")</f>
        <v/>
      </c>
      <c r="C44" s="6">
        <f>IFERROR(COUNTIFS(Raw!C2:C631,"group_aggregate_kg2",Raw!I2:I631,TRUE)/COUNTIF(Raw!C2:C631,"group_aggregate_kg2"),"")</f>
        <v/>
      </c>
      <c r="D44" s="6">
        <f>IFERROR(COUNTIFS(Raw!C2:C631,"group_aggregate_kg2",Raw!K2:K631,"success")/COUNTIF(Raw!C2:C631,"group_aggregate_kg2"),"")</f>
        <v/>
      </c>
      <c r="E44" s="6">
        <f>IFERROR(COUNTIFS(Raw!C2:C631,"group_aggregate_kg2",Raw!J2:J631,TRUE)/COUNTIF(Raw!C2:C631,"group_aggregate_kg2"),"")</f>
        <v/>
      </c>
      <c r="F44" s="6">
        <f>IFERROR(AVERAGEIFS(Raw!M2:M631,Raw!C2:C631,"group_aggregate_kg2"),"")</f>
        <v/>
      </c>
      <c r="G44" s="6">
        <f>IFERROR(AVERAGEIFS(Raw!N2:N631,Raw!C2:C631,"group_aggregate_kg2"),"")</f>
        <v/>
      </c>
    </row>
    <row r="45">
      <c r="A45" s="5" t="inlineStr">
        <is>
          <t>group_aggregate_kg3</t>
        </is>
      </c>
      <c r="B45" s="5">
        <f>COUNTIF(Raw!C2:C631,"group_aggregate_kg3")</f>
        <v/>
      </c>
      <c r="C45" s="6">
        <f>IFERROR(COUNTIFS(Raw!C2:C631,"group_aggregate_kg3",Raw!I2:I631,TRUE)/COUNTIF(Raw!C2:C631,"group_aggregate_kg3"),"")</f>
        <v/>
      </c>
      <c r="D45" s="6">
        <f>IFERROR(COUNTIFS(Raw!C2:C631,"group_aggregate_kg3",Raw!K2:K631,"success")/COUNTIF(Raw!C2:C631,"group_aggregate_kg3"),"")</f>
        <v/>
      </c>
      <c r="E45" s="6">
        <f>IFERROR(COUNTIFS(Raw!C2:C631,"group_aggregate_kg3",Raw!J2:J631,TRUE)/COUNTIF(Raw!C2:C631,"group_aggregate_kg3"),"")</f>
        <v/>
      </c>
      <c r="F45" s="6">
        <f>IFERROR(AVERAGEIFS(Raw!M2:M631,Raw!C2:C631,"group_aggregate_kg3"),"")</f>
        <v/>
      </c>
      <c r="G45" s="6">
        <f>IFERROR(AVERAGEIFS(Raw!N2:N631,Raw!C2:C631,"group_aggregate_kg3"),"")</f>
        <v/>
      </c>
    </row>
    <row r="46">
      <c r="A46" s="5" t="inlineStr">
        <is>
          <t>out_of_scope</t>
        </is>
      </c>
      <c r="B46" s="5">
        <f>COUNTIF(Raw!C2:C631,"out_of_scope")</f>
        <v/>
      </c>
      <c r="C46" s="6">
        <f>IFERROR(COUNTIFS(Raw!C2:C631,"out_of_scope",Raw!I2:I631,TRUE)/COUNTIF(Raw!C2:C631,"out_of_scope"),"")</f>
        <v/>
      </c>
      <c r="D46" s="6">
        <f>IFERROR(COUNTIFS(Raw!C2:C631,"out_of_scope",Raw!K2:K631,"success")/COUNTIF(Raw!C2:C631,"out_of_scope"),"")</f>
        <v/>
      </c>
      <c r="E46" s="6">
        <f>IFERROR(COUNTIFS(Raw!C2:C631,"out_of_scope",Raw!J2:J631,TRUE)/COUNTIF(Raw!C2:C631,"out_of_scope"),"")</f>
        <v/>
      </c>
      <c r="F46" s="6">
        <f>IFERROR(AVERAGEIFS(Raw!M2:M631,Raw!C2:C631,"out_of_scope"),"")</f>
        <v/>
      </c>
      <c r="G46" s="6">
        <f>IFERROR(AVERAGEIFS(Raw!N2:N631,Raw!C2:C631,"out_of_scope"),"")</f>
        <v/>
      </c>
    </row>
    <row r="47">
      <c r="A47" s="5" t="inlineStr">
        <is>
          <t>ask_query</t>
        </is>
      </c>
      <c r="B47" s="5">
        <f>COUNTIF(Raw!C2:C631,"ask_query")</f>
        <v/>
      </c>
      <c r="C47" s="6">
        <f>IFERROR(COUNTIFS(Raw!C2:C631,"ask_query",Raw!I2:I631,TRUE)/COUNTIF(Raw!C2:C631,"ask_query"),"")</f>
        <v/>
      </c>
      <c r="D47" s="6">
        <f>IFERROR(COUNTIFS(Raw!C2:C631,"ask_query",Raw!K2:K631,"success")/COUNTIF(Raw!C2:C631,"ask_query"),"")</f>
        <v/>
      </c>
      <c r="E47" s="6">
        <f>IFERROR(COUNTIFS(Raw!C2:C631,"ask_query",Raw!J2:J631,TRUE)/COUNTIF(Raw!C2:C631,"ask_query"),"")</f>
        <v/>
      </c>
      <c r="F47" s="6">
        <f>IFERROR(AVERAGEIFS(Raw!M2:M631,Raw!C2:C631,"ask_query"),"")</f>
        <v/>
      </c>
      <c r="G47" s="6">
        <f>IFERROR(AVERAGEIFS(Raw!N2:N631,Raw!C2:C631,"ask_query"),"")</f>
        <v/>
      </c>
    </row>
    <row r="48">
      <c r="A48" s="5" t="inlineStr">
        <is>
          <t>typo_fuzzy</t>
        </is>
      </c>
      <c r="B48" s="5">
        <f>COUNTIF(Raw!C2:C631,"typo_fuzzy")</f>
        <v/>
      </c>
      <c r="C48" s="6">
        <f>IFERROR(COUNTIFS(Raw!C2:C631,"typo_fuzzy",Raw!I2:I631,TRUE)/COUNTIF(Raw!C2:C631,"typo_fuzzy"),"")</f>
        <v/>
      </c>
      <c r="D48" s="6">
        <f>IFERROR(COUNTIFS(Raw!C2:C631,"typo_fuzzy",Raw!K2:K631,"success")/COUNTIF(Raw!C2:C631,"typo_fuzzy"),"")</f>
        <v/>
      </c>
      <c r="E48" s="6">
        <f>IFERROR(COUNTIFS(Raw!C2:C631,"typo_fuzzy",Raw!J2:J631,TRUE)/COUNTIF(Raw!C2:C631,"typo_fuzzy"),"")</f>
        <v/>
      </c>
      <c r="F48" s="6">
        <f>IFERROR(AVERAGEIFS(Raw!M2:M631,Raw!C2:C631,"typo_fuzzy"),"")</f>
        <v/>
      </c>
      <c r="G48" s="6">
        <f>IFERROR(AVERAGEIFS(Raw!N2:N631,Raw!C2:C631,"typo_fuzzy"),"")</f>
        <v/>
      </c>
    </row>
    <row r="49">
      <c r="A49" s="5" t="inlineStr">
        <is>
          <t>multilingual_edge</t>
        </is>
      </c>
      <c r="B49" s="5">
        <f>COUNTIF(Raw!C2:C631,"multilingual_edge")</f>
        <v/>
      </c>
      <c r="C49" s="6">
        <f>IFERROR(COUNTIFS(Raw!C2:C631,"multilingual_edge",Raw!I2:I631,TRUE)/COUNTIF(Raw!C2:C631,"multilingual_edge"),"")</f>
        <v/>
      </c>
      <c r="D49" s="6">
        <f>IFERROR(COUNTIFS(Raw!C2:C631,"multilingual_edge",Raw!K2:K631,"success")/COUNTIF(Raw!C2:C631,"multilingual_edge"),"")</f>
        <v/>
      </c>
      <c r="E49" s="6">
        <f>IFERROR(COUNTIFS(Raw!C2:C631,"multilingual_edge",Raw!J2:J631,TRUE)/COUNTIF(Raw!C2:C631,"multilingual_edge"),"")</f>
        <v/>
      </c>
      <c r="F49" s="6">
        <f>IFERROR(AVERAGEIFS(Raw!M2:M631,Raw!C2:C631,"multilingual_edge"),"")</f>
        <v/>
      </c>
      <c r="G49" s="6">
        <f>IFERROR(AVERAGEIFS(Raw!N2:N631,Raw!C2:C631,"multilingual_edge"),"")</f>
        <v/>
      </c>
    </row>
    <row r="50">
      <c r="A50" s="5" t="inlineStr">
        <is>
          <t>property_ambiguity</t>
        </is>
      </c>
      <c r="B50" s="5">
        <f>COUNTIF(Raw!C2:C631,"property_ambiguity")</f>
        <v/>
      </c>
      <c r="C50" s="6">
        <f>IFERROR(COUNTIFS(Raw!C2:C631,"property_ambiguity",Raw!I2:I631,TRUE)/COUNTIF(Raw!C2:C631,"property_ambiguity"),"")</f>
        <v/>
      </c>
      <c r="D50" s="6">
        <f>IFERROR(COUNTIFS(Raw!C2:C631,"property_ambiguity",Raw!K2:K631,"success")/COUNTIF(Raw!C2:C631,"property_ambiguity"),"")</f>
        <v/>
      </c>
      <c r="E50" s="6">
        <f>IFERROR(COUNTIFS(Raw!C2:C631,"property_ambiguity",Raw!J2:J631,TRUE)/COUNTIF(Raw!C2:C631,"property_ambiguity"),"")</f>
        <v/>
      </c>
      <c r="F50" s="6">
        <f>IFERROR(AVERAGEIFS(Raw!M2:M631,Raw!C2:C631,"property_ambiguity"),"")</f>
        <v/>
      </c>
      <c r="G50" s="6">
        <f>IFERROR(AVERAGEIFS(Raw!N2:N631,Raw!C2:C631,"property_ambiguity"),"")</f>
        <v/>
      </c>
    </row>
    <row r="51">
      <c r="A51" s="5" t="inlineStr">
        <is>
          <t>ghost_property</t>
        </is>
      </c>
      <c r="B51" s="5">
        <f>COUNTIF(Raw!C2:C631,"ghost_property")</f>
        <v/>
      </c>
      <c r="C51" s="6">
        <f>IFERROR(COUNTIFS(Raw!C2:C631,"ghost_property",Raw!I2:I631,TRUE)/COUNTIF(Raw!C2:C631,"ghost_property"),"")</f>
        <v/>
      </c>
      <c r="D51" s="6">
        <f>IFERROR(COUNTIFS(Raw!C2:C631,"ghost_property",Raw!K2:K631,"success")/COUNTIF(Raw!C2:C631,"ghost_property"),"")</f>
        <v/>
      </c>
      <c r="E51" s="6">
        <f>IFERROR(COUNTIFS(Raw!C2:C631,"ghost_property",Raw!J2:J631,TRUE)/COUNTIF(Raw!C2:C631,"ghost_property"),"")</f>
        <v/>
      </c>
      <c r="F51" s="6">
        <f>IFERROR(AVERAGEIFS(Raw!M2:M631,Raw!C2:C631,"ghost_property"),"")</f>
        <v/>
      </c>
      <c r="G51" s="6">
        <f>IFERROR(AVERAGEIFS(Raw!N2:N631,Raw!C2:C631,"ghost_property"),"")</f>
        <v/>
      </c>
    </row>
    <row r="52">
      <c r="A52" s="5" t="inlineStr">
        <is>
          <t>multi_value_ambiguity</t>
        </is>
      </c>
      <c r="B52" s="5">
        <f>COUNTIF(Raw!C2:C631,"multi_value_ambiguity")</f>
        <v/>
      </c>
      <c r="C52" s="6">
        <f>IFERROR(COUNTIFS(Raw!C2:C631,"multi_value_ambiguity",Raw!I2:I631,TRUE)/COUNTIF(Raw!C2:C631,"multi_value_ambiguity"),"")</f>
        <v/>
      </c>
      <c r="D52" s="6">
        <f>IFERROR(COUNTIFS(Raw!C2:C631,"multi_value_ambiguity",Raw!K2:K631,"success")/COUNTIF(Raw!C2:C631,"multi_value_ambiguity"),"")</f>
        <v/>
      </c>
      <c r="E52" s="6">
        <f>IFERROR(COUNTIFS(Raw!C2:C631,"multi_value_ambiguity",Raw!J2:J631,TRUE)/COUNTIF(Raw!C2:C631,"multi_value_ambiguity"),"")</f>
        <v/>
      </c>
      <c r="F52" s="6">
        <f>IFERROR(AVERAGEIFS(Raw!M2:M631,Raw!C2:C631,"multi_value_ambiguity"),"")</f>
        <v/>
      </c>
      <c r="G52" s="6">
        <f>IFERROR(AVERAGEIFS(Raw!N2:N631,Raw!C2:C631,"multi_value_ambiguity"),"")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27.84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15.18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14.33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16.95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15.52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15.81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17.06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13.09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11.68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11.99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14.15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12.02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14.35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12.31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14.25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13.38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14.49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14.89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16.59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15.26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16.35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19.23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17.12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18.22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18.06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17.08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18.1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17.81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19.33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18.15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20.05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20.14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19.69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20.06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12.8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11.26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15.42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14.15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15.67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15.42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14.32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14.09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11.46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12.5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13.85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13.08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15.5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13.77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15.16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13.55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12.88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15.09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16.24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15.08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15.94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14.98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14.83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16.09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13.71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12.55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15.05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12.72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13.79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13.57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13.15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12.61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15.18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13.98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14.97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14.91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12.48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14.67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14.49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11.81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15.41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14.8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14.92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12.87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13.69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17.34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15.28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16.72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18.48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16.91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18.97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routing_miss</t>
        </is>
      </c>
      <c r="L107" s="5" t="n"/>
      <c r="M107" s="5" t="n">
        <v>0</v>
      </c>
      <c r="N107" s="5" t="n">
        <v>0</v>
      </c>
      <c r="O107" s="5" t="n">
        <v>2.48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out_of_scope</t>
        </is>
      </c>
      <c r="I108" s="5" t="b">
        <v>0</v>
      </c>
      <c r="J108" s="5" t="b">
        <v>0</v>
      </c>
      <c r="K108" s="5" t="inlineStr">
        <is>
          <t>routing_miss</t>
        </is>
      </c>
      <c r="L108" s="5" t="n"/>
      <c r="M108" s="5" t="n">
        <v>0</v>
      </c>
      <c r="N108" s="5" t="n">
        <v>0</v>
      </c>
      <c r="O108" s="5" t="n">
        <v>1.48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routing_miss</t>
        </is>
      </c>
      <c r="L109" s="5" t="n"/>
      <c r="M109" s="5" t="n">
        <v>0</v>
      </c>
      <c r="N109" s="5" t="n">
        <v>0</v>
      </c>
      <c r="O109" s="5" t="n">
        <v>0.92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13.02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11.38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12.09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15.81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14.27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14.78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15.29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12.83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14.13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18.77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16.85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18.54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17.76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21.62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19.52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17.07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18.92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18.76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16.79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19.08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17.57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18.02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18.71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16.95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18.35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13.59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11.81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16.98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14.98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15.36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14.71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12.19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13.13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17.28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15.22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16.34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17.61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16.29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17.84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20.21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18.17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15.31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11.55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12.26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15.67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13.6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14.55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14.16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12.22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13.26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9.960000000000001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9.76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9.81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11.24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11.19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12.31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11.44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11.72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11.34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9.76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9.98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11.88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11.14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11.26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11.57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11.12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11.67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10.33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10.59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78.36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11.83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11.94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13.33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12.36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12.45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12.09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10.24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10.59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12.56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11.79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12.05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12.72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11.97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12.07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16.19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16.89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16.94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12.57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13.43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14.18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15.13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18.85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15.12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21.52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21.23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15.65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16.48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21.65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20.27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14.72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15.05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15.85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16.31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22.51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15.52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19.91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20.41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16.89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17.13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21.13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15.51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14.24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15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15.37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15.86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18.04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15.72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15.37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16.55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15.89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26.48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25.23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25.35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29.09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28.68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28.68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19.96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25.67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26.06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34.86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0.0645</v>
      </c>
      <c r="O246" s="5" t="n">
        <v>7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27.07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38.75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38.3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41.2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25.27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25.44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25.62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8.390000000000001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8.23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8.06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11.35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7.58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7.89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7.91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7.76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7.24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12.43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8.890000000000001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7.24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12.27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10.67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7.41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8.609999999999999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8.59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6.88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6.95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6.81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7.09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10.98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10.94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7.03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7.23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6.76</v>
      </c>
    </row>
    <row r="281">
      <c r="A281" s="5" t="inlineStr">
        <is>
          <t>filter_string_kg2_001</t>
        </is>
      </c>
      <c r="B281" s="5" t="n">
        <v>2</v>
      </c>
      <c r="C281" s="5" t="inlineStr">
        <is>
          <t>filter_string_kg2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9.69</v>
      </c>
    </row>
    <row r="282">
      <c r="A282" s="5" t="inlineStr">
        <is>
          <t>filter_string_kg2_001</t>
        </is>
      </c>
      <c r="B282" s="5" t="n">
        <v>2</v>
      </c>
      <c r="C282" s="5" t="inlineStr">
        <is>
          <t>filter_string_kg2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1</v>
      </c>
      <c r="N282" s="5" t="n">
        <v>1</v>
      </c>
      <c r="O282" s="5" t="n">
        <v>9.390000000000001</v>
      </c>
    </row>
    <row r="283">
      <c r="A283" s="5" t="inlineStr">
        <is>
          <t>filter_string_kg2_001</t>
        </is>
      </c>
      <c r="B283" s="5" t="n">
        <v>2</v>
      </c>
      <c r="C283" s="5" t="inlineStr">
        <is>
          <t>filter_string_kg2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9.33</v>
      </c>
    </row>
    <row r="284">
      <c r="A284" s="5" t="inlineStr">
        <is>
          <t>filter_string_kg2_002</t>
        </is>
      </c>
      <c r="B284" s="5" t="n">
        <v>2</v>
      </c>
      <c r="C284" s="5" t="inlineStr">
        <is>
          <t>filter_string_kg2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1</v>
      </c>
      <c r="N284" s="5" t="n">
        <v>1</v>
      </c>
      <c r="O284" s="5" t="n">
        <v>13.44</v>
      </c>
    </row>
    <row r="285">
      <c r="A285" s="5" t="inlineStr">
        <is>
          <t>filter_string_kg2_002</t>
        </is>
      </c>
      <c r="B285" s="5" t="n">
        <v>2</v>
      </c>
      <c r="C285" s="5" t="inlineStr">
        <is>
          <t>filter_string_kg2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1</v>
      </c>
      <c r="N285" s="5" t="n">
        <v>1</v>
      </c>
      <c r="O285" s="5" t="n">
        <v>10.44</v>
      </c>
    </row>
    <row r="286">
      <c r="A286" s="5" t="inlineStr">
        <is>
          <t>filter_string_kg2_002</t>
        </is>
      </c>
      <c r="B286" s="5" t="n">
        <v>2</v>
      </c>
      <c r="C286" s="5" t="inlineStr">
        <is>
          <t>filter_string_kg2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1</v>
      </c>
      <c r="N286" s="5" t="n">
        <v>1</v>
      </c>
      <c r="O286" s="5" t="n">
        <v>8.880000000000001</v>
      </c>
    </row>
    <row r="287">
      <c r="A287" s="5" t="inlineStr">
        <is>
          <t>filter_string_kg2_003</t>
        </is>
      </c>
      <c r="B287" s="5" t="n">
        <v>2</v>
      </c>
      <c r="C287" s="5" t="inlineStr">
        <is>
          <t>filter_string_kg2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9.470000000000001</v>
      </c>
    </row>
    <row r="288">
      <c r="A288" s="5" t="inlineStr">
        <is>
          <t>filter_string_kg2_003</t>
        </is>
      </c>
      <c r="B288" s="5" t="n">
        <v>2</v>
      </c>
      <c r="C288" s="5" t="inlineStr">
        <is>
          <t>filter_string_kg2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9.58</v>
      </c>
    </row>
    <row r="289">
      <c r="A289" s="5" t="inlineStr">
        <is>
          <t>filter_string_kg2_003</t>
        </is>
      </c>
      <c r="B289" s="5" t="n">
        <v>2</v>
      </c>
      <c r="C289" s="5" t="inlineStr">
        <is>
          <t>filter_string_kg2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9.66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7.4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7.5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7.5</v>
      </c>
    </row>
    <row r="293">
      <c r="A293" s="5" t="inlineStr">
        <is>
          <t>ranking_kg2_001</t>
        </is>
      </c>
      <c r="B293" s="5" t="n">
        <v>2</v>
      </c>
      <c r="C293" s="5" t="inlineStr">
        <is>
          <t>ranking_kg2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9.27</v>
      </c>
    </row>
    <row r="294">
      <c r="A294" s="5" t="inlineStr">
        <is>
          <t>ranking_kg2_001</t>
        </is>
      </c>
      <c r="B294" s="5" t="n">
        <v>2</v>
      </c>
      <c r="C294" s="5" t="inlineStr">
        <is>
          <t>ranking_kg2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9</v>
      </c>
    </row>
    <row r="295">
      <c r="A295" s="5" t="inlineStr">
        <is>
          <t>ranking_kg2_001</t>
        </is>
      </c>
      <c r="B295" s="5" t="n">
        <v>2</v>
      </c>
      <c r="C295" s="5" t="inlineStr">
        <is>
          <t>ranking_kg2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9.380000000000001</v>
      </c>
    </row>
    <row r="296">
      <c r="A296" s="5" t="inlineStr">
        <is>
          <t>ranking_kg2_002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7.63</v>
      </c>
    </row>
    <row r="297">
      <c r="A297" s="5" t="inlineStr">
        <is>
          <t>ranking_kg2_002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6.7</v>
      </c>
    </row>
    <row r="298">
      <c r="A298" s="5" t="inlineStr">
        <is>
          <t>ranking_kg2_002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6.72</v>
      </c>
    </row>
    <row r="299">
      <c r="A299" s="5" t="inlineStr">
        <is>
          <t>ranking_kg2_003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open_kg</t>
        </is>
      </c>
      <c r="I299" s="5" t="b">
        <v>0</v>
      </c>
      <c r="J299" s="5" t="b">
        <v>0</v>
      </c>
      <c r="K299" s="5" t="inlineStr">
        <is>
          <t>generation_failure</t>
        </is>
      </c>
      <c r="L299" s="5" t="n"/>
      <c r="M299" s="5" t="n">
        <v>0</v>
      </c>
      <c r="N299" s="5" t="n">
        <v>0</v>
      </c>
      <c r="O299" s="5" t="n">
        <v>29.63</v>
      </c>
    </row>
    <row r="300">
      <c r="A300" s="5" t="inlineStr">
        <is>
          <t>ranking_kg2_003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9.18</v>
      </c>
    </row>
    <row r="301">
      <c r="A301" s="5" t="inlineStr">
        <is>
          <t>ranking_kg2_003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9.06</v>
      </c>
    </row>
    <row r="302">
      <c r="A302" s="5" t="inlineStr">
        <is>
          <t>compare_two_airports_001</t>
        </is>
      </c>
      <c r="B302" s="5" t="n">
        <v>2</v>
      </c>
      <c r="C302" s="5" t="inlineStr">
        <is>
          <t>compare_two_airports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2.97</v>
      </c>
    </row>
    <row r="303">
      <c r="A303" s="5" t="inlineStr">
        <is>
          <t>compare_two_airports_001</t>
        </is>
      </c>
      <c r="B303" s="5" t="n">
        <v>2</v>
      </c>
      <c r="C303" s="5" t="inlineStr">
        <is>
          <t>compare_two_airports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2.62</v>
      </c>
    </row>
    <row r="304">
      <c r="A304" s="5" t="inlineStr">
        <is>
          <t>compare_two_airports_001</t>
        </is>
      </c>
      <c r="B304" s="5" t="n">
        <v>2</v>
      </c>
      <c r="C304" s="5" t="inlineStr">
        <is>
          <t>compare_two_airports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3.01</v>
      </c>
    </row>
    <row r="305">
      <c r="A305" s="5" t="inlineStr">
        <is>
          <t>compare_two_airports_002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2.26</v>
      </c>
    </row>
    <row r="306">
      <c r="A306" s="5" t="inlineStr">
        <is>
          <t>compare_two_airports_002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3.18</v>
      </c>
    </row>
    <row r="307">
      <c r="A307" s="5" t="inlineStr">
        <is>
          <t>compare_two_airports_002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2.77</v>
      </c>
    </row>
    <row r="308">
      <c r="A308" s="5" t="inlineStr">
        <is>
          <t>compare_two_airports_003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2.26</v>
      </c>
    </row>
    <row r="309">
      <c r="A309" s="5" t="inlineStr">
        <is>
          <t>compare_two_airports_003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2.99</v>
      </c>
    </row>
    <row r="310">
      <c r="A310" s="5" t="inlineStr">
        <is>
          <t>compare_two_airports_003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2.74</v>
      </c>
    </row>
    <row r="311">
      <c r="A311" s="5" t="inlineStr">
        <is>
          <t>out_of_scope_001</t>
        </is>
      </c>
      <c r="B311" s="5" t="n">
        <v>3</v>
      </c>
      <c r="C311" s="5" t="inlineStr">
        <is>
          <t>out_of_scope</t>
        </is>
      </c>
      <c r="D311" s="5" t="n">
        <v/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out_of_scope</t>
        </is>
      </c>
      <c r="H311" s="5" t="inlineStr">
        <is>
          <t>out_of_scope</t>
        </is>
      </c>
      <c r="I311" s="5" t="b">
        <v>1</v>
      </c>
      <c r="J311" s="5" t="b">
        <v>0</v>
      </c>
      <c r="K311" s="5" t="inlineStr">
        <is>
          <t>success</t>
        </is>
      </c>
      <c r="L311" s="5" t="n"/>
      <c r="M311" s="5" t="n"/>
      <c r="N311" s="5" t="n"/>
      <c r="O311" s="5" t="n">
        <v>2.67</v>
      </c>
    </row>
    <row r="312">
      <c r="A312" s="5" t="inlineStr">
        <is>
          <t>out_of_scope_001</t>
        </is>
      </c>
      <c r="B312" s="5" t="n">
        <v>3</v>
      </c>
      <c r="C312" s="5" t="inlineStr">
        <is>
          <t>out_of_scope</t>
        </is>
      </c>
      <c r="D312" s="5" t="n">
        <v/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out_of_scope</t>
        </is>
      </c>
      <c r="H312" s="5" t="inlineStr">
        <is>
          <t>out_of_scope</t>
        </is>
      </c>
      <c r="I312" s="5" t="b">
        <v>1</v>
      </c>
      <c r="J312" s="5" t="b">
        <v>0</v>
      </c>
      <c r="K312" s="5" t="inlineStr">
        <is>
          <t>success</t>
        </is>
      </c>
      <c r="L312" s="5" t="n"/>
      <c r="M312" s="5" t="n"/>
      <c r="N312" s="5" t="n"/>
      <c r="O312" s="5" t="n">
        <v>3.26</v>
      </c>
    </row>
    <row r="313">
      <c r="A313" s="5" t="inlineStr">
        <is>
          <t>out_of_scope_001</t>
        </is>
      </c>
      <c r="B313" s="5" t="n">
        <v>3</v>
      </c>
      <c r="C313" s="5" t="inlineStr">
        <is>
          <t>out_of_scope</t>
        </is>
      </c>
      <c r="D313" s="5" t="n">
        <v/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out_of_scope</t>
        </is>
      </c>
      <c r="H313" s="5" t="inlineStr">
        <is>
          <t>out_of_scope</t>
        </is>
      </c>
      <c r="I313" s="5" t="b">
        <v>1</v>
      </c>
      <c r="J313" s="5" t="b">
        <v>0</v>
      </c>
      <c r="K313" s="5" t="inlineStr">
        <is>
          <t>success</t>
        </is>
      </c>
      <c r="L313" s="5" t="n"/>
      <c r="M313" s="5" t="n"/>
      <c r="N313" s="5" t="n"/>
      <c r="O313" s="5" t="n">
        <v>2.95</v>
      </c>
    </row>
    <row r="314">
      <c r="A314" s="5" t="inlineStr">
        <is>
          <t>out_of_scope_002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6.06</v>
      </c>
    </row>
    <row r="315">
      <c r="A315" s="5" t="inlineStr">
        <is>
          <t>out_of_scope_002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6.98</v>
      </c>
    </row>
    <row r="316">
      <c r="A316" s="5" t="inlineStr">
        <is>
          <t>out_of_scope_002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ask_query</t>
        </is>
      </c>
      <c r="I316" s="5" t="b">
        <v>0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5.06</v>
      </c>
    </row>
    <row r="317">
      <c r="A317" s="5" t="inlineStr">
        <is>
          <t>out_of_scope_003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3.27</v>
      </c>
    </row>
    <row r="318">
      <c r="A318" s="5" t="inlineStr">
        <is>
          <t>out_of_scope_003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3.33</v>
      </c>
    </row>
    <row r="319">
      <c r="A319" s="5" t="inlineStr">
        <is>
          <t>out_of_scope_003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out_of_scope</t>
        </is>
      </c>
      <c r="I319" s="5" t="b">
        <v>1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3.33</v>
      </c>
    </row>
    <row r="320">
      <c r="A320" s="5" t="inlineStr">
        <is>
          <t>ask_query_001</t>
        </is>
      </c>
      <c r="B320" s="5" t="n">
        <v>3</v>
      </c>
      <c r="C320" s="5" t="inlineStr">
        <is>
          <t>ask_query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ask_query</t>
        </is>
      </c>
      <c r="H320" s="5" t="inlineStr">
        <is>
          <t>ask_query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6.2</v>
      </c>
    </row>
    <row r="321">
      <c r="A321" s="5" t="inlineStr">
        <is>
          <t>ask_query_001</t>
        </is>
      </c>
      <c r="B321" s="5" t="n">
        <v>3</v>
      </c>
      <c r="C321" s="5" t="inlineStr">
        <is>
          <t>ask_query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ask_query</t>
        </is>
      </c>
      <c r="H321" s="5" t="inlineStr">
        <is>
          <t>ask_query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7.17</v>
      </c>
    </row>
    <row r="322">
      <c r="A322" s="5" t="inlineStr">
        <is>
          <t>ask_query_001</t>
        </is>
      </c>
      <c r="B322" s="5" t="n">
        <v>3</v>
      </c>
      <c r="C322" s="5" t="inlineStr">
        <is>
          <t>ask_query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ask_query</t>
        </is>
      </c>
      <c r="H322" s="5" t="inlineStr">
        <is>
          <t>ask_query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3.99</v>
      </c>
    </row>
    <row r="323">
      <c r="A323" s="5" t="inlineStr">
        <is>
          <t>ask_query_002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6.38</v>
      </c>
    </row>
    <row r="324">
      <c r="A324" s="5" t="inlineStr">
        <is>
          <t>ask_query_002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6.84</v>
      </c>
    </row>
    <row r="325">
      <c r="A325" s="5" t="inlineStr">
        <is>
          <t>ask_query_002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4.68</v>
      </c>
    </row>
    <row r="326">
      <c r="A326" s="5" t="inlineStr">
        <is>
          <t>ask_query_003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out_of_scope</t>
        </is>
      </c>
      <c r="I326" s="5" t="b">
        <v>0</v>
      </c>
      <c r="J326" s="5" t="b">
        <v>0</v>
      </c>
      <c r="K326" s="5" t="inlineStr">
        <is>
          <t>routing_miss</t>
        </is>
      </c>
      <c r="L326" s="5" t="n"/>
      <c r="M326" s="5" t="n"/>
      <c r="N326" s="5" t="n"/>
      <c r="O326" s="5" t="n">
        <v>4.71</v>
      </c>
    </row>
    <row r="327">
      <c r="A327" s="5" t="inlineStr">
        <is>
          <t>ask_query_003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single_kg2</t>
        </is>
      </c>
      <c r="I327" s="5" t="b">
        <v>0</v>
      </c>
      <c r="J327" s="5" t="b">
        <v>0</v>
      </c>
      <c r="K327" s="5" t="inlineStr">
        <is>
          <t>mapping_failure</t>
        </is>
      </c>
      <c r="L327" s="5" t="inlineStr">
        <is>
          <t>entity='BLQ' -&gt; airport_uri='http://www.semanticweb.org/ontologies/airport_ontology#Airport/BLQ' | property_text='location' -&gt; property_uri=None</t>
        </is>
      </c>
      <c r="M327" s="5" t="n"/>
      <c r="N327" s="5" t="n"/>
      <c r="O327" s="5" t="n">
        <v>8.15</v>
      </c>
    </row>
    <row r="328">
      <c r="A328" s="5" t="inlineStr">
        <is>
          <t>ask_query_003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3.86</v>
      </c>
    </row>
    <row r="329">
      <c r="A329" s="5" t="inlineStr">
        <is>
          <t>ask_query_004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ask_query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n">
        <v>1</v>
      </c>
      <c r="N329" s="5" t="n">
        <v>1</v>
      </c>
      <c r="O329" s="5" t="n">
        <v>6.67</v>
      </c>
    </row>
    <row r="330">
      <c r="A330" s="5" t="inlineStr">
        <is>
          <t>ask_query_004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ask_query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n">
        <v>1</v>
      </c>
      <c r="N330" s="5" t="n">
        <v>1</v>
      </c>
      <c r="O330" s="5" t="n">
        <v>8.24</v>
      </c>
    </row>
    <row r="331">
      <c r="A331" s="5" t="inlineStr">
        <is>
          <t>ask_query_004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4.9</v>
      </c>
    </row>
    <row r="332">
      <c r="A332" s="5" t="inlineStr">
        <is>
          <t>typo_fuzzy_001</t>
        </is>
      </c>
      <c r="B332" s="5" t="n">
        <v>3</v>
      </c>
      <c r="C332" s="5" t="inlineStr">
        <is>
          <t>typo_fuzzy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VARIES</t>
        </is>
      </c>
      <c r="H332" s="5" t="inlineStr">
        <is>
          <t>single_kg2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16.23</v>
      </c>
    </row>
    <row r="333">
      <c r="A333" s="5" t="inlineStr">
        <is>
          <t>typo_fuzzy_001</t>
        </is>
      </c>
      <c r="B333" s="5" t="n">
        <v>3</v>
      </c>
      <c r="C333" s="5" t="inlineStr">
        <is>
          <t>typo_fuzzy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VARIES</t>
        </is>
      </c>
      <c r="H333" s="5" t="inlineStr">
        <is>
          <t>single_kg2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17.26</v>
      </c>
    </row>
    <row r="334">
      <c r="A334" s="5" t="inlineStr">
        <is>
          <t>typo_fuzzy_001</t>
        </is>
      </c>
      <c r="B334" s="5" t="n">
        <v>3</v>
      </c>
      <c r="C334" s="5" t="inlineStr">
        <is>
          <t>typo_fuzzy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VARIES</t>
        </is>
      </c>
      <c r="H334" s="5" t="inlineStr">
        <is>
          <t>single_kg2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16.23</v>
      </c>
    </row>
    <row r="335">
      <c r="A335" s="5" t="inlineStr">
        <is>
          <t>typo_fuzzy_002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cross_kg</t>
        </is>
      </c>
      <c r="I335" s="5" t="b">
        <v>1</v>
      </c>
      <c r="J335" s="5" t="b">
        <v>0</v>
      </c>
      <c r="K335" s="5" t="inlineStr">
        <is>
          <t>mapping_failure</t>
        </is>
      </c>
      <c r="L335" s="5" t="n"/>
      <c r="M335" s="5" t="n">
        <v>0</v>
      </c>
      <c r="N335" s="5" t="n">
        <v>0</v>
      </c>
      <c r="O335" s="5" t="n">
        <v>12.63</v>
      </c>
    </row>
    <row r="336">
      <c r="A336" s="5" t="inlineStr">
        <is>
          <t>typo_fuzzy_002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single_kg1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18.36</v>
      </c>
    </row>
    <row r="337">
      <c r="A337" s="5" t="inlineStr">
        <is>
          <t>typo_fuzzy_002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single_kg1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20.59</v>
      </c>
    </row>
    <row r="338">
      <c r="A338" s="5" t="inlineStr">
        <is>
          <t>typo_fuzzy_003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single_kg2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20.6</v>
      </c>
    </row>
    <row r="339">
      <c r="A339" s="5" t="inlineStr">
        <is>
          <t>typo_fuzzy_003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single_kg2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23.34</v>
      </c>
    </row>
    <row r="340">
      <c r="A340" s="5" t="inlineStr">
        <is>
          <t>typo_fuzzy_003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single_kg2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21.36</v>
      </c>
    </row>
    <row r="341">
      <c r="A341" s="5" t="inlineStr">
        <is>
          <t>multilingual_edge_001</t>
        </is>
      </c>
      <c r="B341" s="5" t="n">
        <v>3</v>
      </c>
      <c r="C341" s="5" t="inlineStr">
        <is>
          <t>multilingual_edge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15.9</v>
      </c>
    </row>
    <row r="342">
      <c r="A342" s="5" t="inlineStr">
        <is>
          <t>multilingual_edge_001</t>
        </is>
      </c>
      <c r="B342" s="5" t="n">
        <v>3</v>
      </c>
      <c r="C342" s="5" t="inlineStr">
        <is>
          <t>multilingual_edge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18.63</v>
      </c>
    </row>
    <row r="343">
      <c r="A343" s="5" t="inlineStr">
        <is>
          <t>multilingual_edge_001</t>
        </is>
      </c>
      <c r="B343" s="5" t="n">
        <v>3</v>
      </c>
      <c r="C343" s="5" t="inlineStr">
        <is>
          <t>multilingual_edge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15.72</v>
      </c>
    </row>
    <row r="344">
      <c r="A344" s="5" t="inlineStr">
        <is>
          <t>multilingual_edge_002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15.8</v>
      </c>
    </row>
    <row r="345">
      <c r="A345" s="5" t="inlineStr">
        <is>
          <t>multilingual_edge_002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18.34</v>
      </c>
    </row>
    <row r="346">
      <c r="A346" s="5" t="inlineStr">
        <is>
          <t>multilingual_edge_002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16.63</v>
      </c>
    </row>
    <row r="347">
      <c r="A347" s="5" t="inlineStr">
        <is>
          <t>multilingual_edge_003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ask_query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6.07</v>
      </c>
    </row>
    <row r="348">
      <c r="A348" s="5" t="inlineStr">
        <is>
          <t>multilingual_edge_003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ask_query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6.98</v>
      </c>
    </row>
    <row r="349">
      <c r="A349" s="5" t="inlineStr">
        <is>
          <t>multilingual_edge_003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ask_query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4.9</v>
      </c>
    </row>
    <row r="350">
      <c r="A350" s="5" t="inlineStr">
        <is>
          <t>multilingual_edge_004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15.88</v>
      </c>
    </row>
    <row r="351">
      <c r="A351" s="5" t="inlineStr">
        <is>
          <t>multilingual_edge_004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18.93</v>
      </c>
    </row>
    <row r="352">
      <c r="A352" s="5" t="inlineStr">
        <is>
          <t>multilingual_edge_004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16.09</v>
      </c>
    </row>
    <row r="353">
      <c r="A353" s="5" t="inlineStr">
        <is>
          <t>property_ambiguity_001</t>
        </is>
      </c>
      <c r="B353" s="5" t="n">
        <v>3</v>
      </c>
      <c r="C353" s="5" t="inlineStr">
        <is>
          <t>property_ambiguity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single_kg3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12.53</v>
      </c>
    </row>
    <row r="354">
      <c r="A354" s="5" t="inlineStr">
        <is>
          <t>property_ambiguity_001</t>
        </is>
      </c>
      <c r="B354" s="5" t="n">
        <v>3</v>
      </c>
      <c r="C354" s="5" t="inlineStr">
        <is>
          <t>property_ambiguity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single_kg3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12.27</v>
      </c>
    </row>
    <row r="355">
      <c r="A355" s="5" t="inlineStr">
        <is>
          <t>property_ambiguity_001</t>
        </is>
      </c>
      <c r="B355" s="5" t="n">
        <v>3</v>
      </c>
      <c r="C355" s="5" t="inlineStr">
        <is>
          <t>property_ambiguity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single_kg3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12.32</v>
      </c>
    </row>
    <row r="356">
      <c r="A356" s="5" t="inlineStr">
        <is>
          <t>property_ambiguity_002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11.43</v>
      </c>
    </row>
    <row r="357">
      <c r="A357" s="5" t="inlineStr">
        <is>
          <t>property_ambiguity_002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11.58</v>
      </c>
    </row>
    <row r="358">
      <c r="A358" s="5" t="inlineStr">
        <is>
          <t>property_ambiguity_002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11.73</v>
      </c>
    </row>
    <row r="359">
      <c r="A359" s="5" t="inlineStr">
        <is>
          <t>property_ambiguity_003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11.15</v>
      </c>
    </row>
    <row r="360">
      <c r="A360" s="5" t="inlineStr">
        <is>
          <t>property_ambiguity_003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11.6</v>
      </c>
    </row>
    <row r="361">
      <c r="A361" s="5" t="inlineStr">
        <is>
          <t>property_ambiguity_003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template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0</v>
      </c>
      <c r="N361" s="5" t="n">
        <v>0</v>
      </c>
      <c r="O361" s="5" t="n">
        <v>7.7</v>
      </c>
    </row>
    <row r="362">
      <c r="A362" s="5" t="inlineStr">
        <is>
          <t>single_kg1_010</t>
        </is>
      </c>
      <c r="B362" s="5" t="n">
        <v>1</v>
      </c>
      <c r="C362" s="5" t="inlineStr">
        <is>
          <t>single_kg1</t>
        </is>
      </c>
      <c r="D362" s="5" t="inlineStr">
        <is>
          <t>flights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single_kg1</t>
        </is>
      </c>
      <c r="H362" s="5" t="inlineStr">
        <is>
          <t>single_kg1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16.38</v>
      </c>
    </row>
    <row r="363">
      <c r="A363" s="5" t="inlineStr">
        <is>
          <t>single_kg1_010</t>
        </is>
      </c>
      <c r="B363" s="5" t="n">
        <v>1</v>
      </c>
      <c r="C363" s="5" t="inlineStr">
        <is>
          <t>single_kg1</t>
        </is>
      </c>
      <c r="D363" s="5" t="inlineStr">
        <is>
          <t>flights</t>
        </is>
      </c>
      <c r="E363" s="5" t="inlineStr">
        <is>
          <t>en</t>
        </is>
      </c>
      <c r="F363" s="5" t="inlineStr">
        <is>
          <t>few-shot</t>
        </is>
      </c>
      <c r="G363" s="5" t="inlineStr">
        <is>
          <t>single_kg1</t>
        </is>
      </c>
      <c r="H363" s="5" t="inlineStr">
        <is>
          <t>single_kg1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13.9</v>
      </c>
    </row>
    <row r="364">
      <c r="A364" s="5" t="inlineStr">
        <is>
          <t>single_kg1_010</t>
        </is>
      </c>
      <c r="B364" s="5" t="n">
        <v>1</v>
      </c>
      <c r="C364" s="5" t="inlineStr">
        <is>
          <t>single_kg1</t>
        </is>
      </c>
      <c r="D364" s="5" t="inlineStr">
        <is>
          <t>flights</t>
        </is>
      </c>
      <c r="E364" s="5" t="inlineStr">
        <is>
          <t>en</t>
        </is>
      </c>
      <c r="F364" s="5" t="inlineStr">
        <is>
          <t>cot</t>
        </is>
      </c>
      <c r="G364" s="5" t="inlineStr">
        <is>
          <t>single_kg1</t>
        </is>
      </c>
      <c r="H364" s="5" t="inlineStr">
        <is>
          <t>single_kg1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14.22</v>
      </c>
    </row>
    <row r="365">
      <c r="A365" s="5" t="inlineStr">
        <is>
          <t>single_kg1_010</t>
        </is>
      </c>
      <c r="B365" s="5" t="n">
        <v>1</v>
      </c>
      <c r="C365" s="5" t="inlineStr">
        <is>
          <t>single_kg1</t>
        </is>
      </c>
      <c r="D365" s="5" t="inlineStr">
        <is>
          <t>flights</t>
        </is>
      </c>
      <c r="E365" s="5" t="inlineStr">
        <is>
          <t>fr</t>
        </is>
      </c>
      <c r="F365" s="5" t="inlineStr">
        <is>
          <t>zero-shot</t>
        </is>
      </c>
      <c r="G365" s="5" t="inlineStr">
        <is>
          <t>single_kg1</t>
        </is>
      </c>
      <c r="H365" s="5" t="inlineStr">
        <is>
          <t>single_kg1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15.73</v>
      </c>
    </row>
    <row r="366">
      <c r="A366" s="5" t="inlineStr">
        <is>
          <t>single_kg1_010</t>
        </is>
      </c>
      <c r="B366" s="5" t="n">
        <v>1</v>
      </c>
      <c r="C366" s="5" t="inlineStr">
        <is>
          <t>single_kg1</t>
        </is>
      </c>
      <c r="D366" s="5" t="inlineStr">
        <is>
          <t>flights</t>
        </is>
      </c>
      <c r="E366" s="5" t="inlineStr">
        <is>
          <t>fr</t>
        </is>
      </c>
      <c r="F366" s="5" t="inlineStr">
        <is>
          <t>few-shot</t>
        </is>
      </c>
      <c r="G366" s="5" t="inlineStr">
        <is>
          <t>single_kg1</t>
        </is>
      </c>
      <c r="H366" s="5" t="inlineStr">
        <is>
          <t>single_kg1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15.67</v>
      </c>
    </row>
    <row r="367">
      <c r="A367" s="5" t="inlineStr">
        <is>
          <t>single_kg1_010</t>
        </is>
      </c>
      <c r="B367" s="5" t="n">
        <v>1</v>
      </c>
      <c r="C367" s="5" t="inlineStr">
        <is>
          <t>single_kg1</t>
        </is>
      </c>
      <c r="D367" s="5" t="inlineStr">
        <is>
          <t>flights</t>
        </is>
      </c>
      <c r="E367" s="5" t="inlineStr">
        <is>
          <t>fr</t>
        </is>
      </c>
      <c r="F367" s="5" t="inlineStr">
        <is>
          <t>cot</t>
        </is>
      </c>
      <c r="G367" s="5" t="inlineStr">
        <is>
          <t>single_kg1</t>
        </is>
      </c>
      <c r="H367" s="5" t="inlineStr">
        <is>
          <t>single_kg1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16.33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ar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14.1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ar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14.17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ar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15.35</v>
      </c>
    </row>
    <row r="371">
      <c r="A371" s="5" t="inlineStr">
        <is>
          <t>single_kg1_011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20.39</v>
      </c>
    </row>
    <row r="372">
      <c r="A372" s="5" t="inlineStr">
        <is>
          <t>single_kg1_011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en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19.15</v>
      </c>
    </row>
    <row r="373">
      <c r="A373" s="5" t="inlineStr">
        <is>
          <t>single_kg1_011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en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19.61</v>
      </c>
    </row>
    <row r="374">
      <c r="A374" s="5" t="inlineStr">
        <is>
          <t>single_kg1_011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fr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20.94</v>
      </c>
    </row>
    <row r="375">
      <c r="A375" s="5" t="inlineStr">
        <is>
          <t>single_kg1_011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fr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20.2</v>
      </c>
    </row>
    <row r="376">
      <c r="A376" s="5" t="inlineStr">
        <is>
          <t>single_kg1_011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fr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21.23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ar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20.13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ar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0</v>
      </c>
      <c r="K378" s="5" t="inlineStr">
        <is>
          <t>mapping_failure</t>
        </is>
      </c>
      <c r="L378" s="5" t="n"/>
      <c r="M378" s="5" t="n">
        <v>0</v>
      </c>
      <c r="N378" s="5" t="n">
        <v>0</v>
      </c>
      <c r="O378" s="5" t="n">
        <v>1.53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ar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0</v>
      </c>
      <c r="K379" s="5" t="inlineStr">
        <is>
          <t>mapping_failure</t>
        </is>
      </c>
      <c r="L379" s="5" t="n"/>
      <c r="M379" s="5" t="n">
        <v>0</v>
      </c>
      <c r="N379" s="5" t="n">
        <v>0</v>
      </c>
      <c r="O379" s="5" t="n">
        <v>1.58</v>
      </c>
    </row>
    <row r="380">
      <c r="A380" s="5" t="inlineStr">
        <is>
          <t>single_kg1_012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en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21.23</v>
      </c>
    </row>
    <row r="381">
      <c r="A381" s="5" t="inlineStr">
        <is>
          <t>single_kg1_012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en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17.7</v>
      </c>
    </row>
    <row r="382">
      <c r="A382" s="5" t="inlineStr">
        <is>
          <t>single_kg1_012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en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18.51</v>
      </c>
    </row>
    <row r="383">
      <c r="A383" s="5" t="inlineStr">
        <is>
          <t>single_kg1_012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fr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19.55</v>
      </c>
    </row>
    <row r="384">
      <c r="A384" s="5" t="inlineStr">
        <is>
          <t>single_kg1_012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fr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20.9</v>
      </c>
    </row>
    <row r="385">
      <c r="A385" s="5" t="inlineStr">
        <is>
          <t>single_kg1_012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fr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21.46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ar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19.13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ar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19.89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ar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21.15</v>
      </c>
    </row>
    <row r="389">
      <c r="A389" s="5" t="inlineStr">
        <is>
          <t>single_kg1_013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en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15.84</v>
      </c>
    </row>
    <row r="390">
      <c r="A390" s="5" t="inlineStr">
        <is>
          <t>single_kg1_013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en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13.65</v>
      </c>
    </row>
    <row r="391">
      <c r="A391" s="5" t="inlineStr">
        <is>
          <t>single_kg1_013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en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14.64</v>
      </c>
    </row>
    <row r="392">
      <c r="A392" s="5" t="inlineStr">
        <is>
          <t>single_kg1_013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fr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16.07</v>
      </c>
    </row>
    <row r="393">
      <c r="A393" s="5" t="inlineStr">
        <is>
          <t>single_kg1_013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fr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13.57</v>
      </c>
    </row>
    <row r="394">
      <c r="A394" s="5" t="inlineStr">
        <is>
          <t>single_kg1_013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fr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14.54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ar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17.86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ar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16.93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ar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17.61</v>
      </c>
    </row>
    <row r="398">
      <c r="A398" s="5" t="inlineStr">
        <is>
          <t>single_kg2_010</t>
        </is>
      </c>
      <c r="B398" s="5" t="n">
        <v>1</v>
      </c>
      <c r="C398" s="5" t="inlineStr">
        <is>
          <t>single_kg2</t>
        </is>
      </c>
      <c r="D398" s="5" t="inlineStr">
        <is>
          <t>airports</t>
        </is>
      </c>
      <c r="E398" s="5" t="inlineStr">
        <is>
          <t>en</t>
        </is>
      </c>
      <c r="F398" s="5" t="inlineStr">
        <is>
          <t>zero-shot</t>
        </is>
      </c>
      <c r="G398" s="5" t="inlineStr">
        <is>
          <t>single_kg2</t>
        </is>
      </c>
      <c r="H398" s="5" t="inlineStr">
        <is>
          <t>single_kg2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23.62</v>
      </c>
    </row>
    <row r="399">
      <c r="A399" s="5" t="inlineStr">
        <is>
          <t>single_kg2_010</t>
        </is>
      </c>
      <c r="B399" s="5" t="n">
        <v>1</v>
      </c>
      <c r="C399" s="5" t="inlineStr">
        <is>
          <t>single_kg2</t>
        </is>
      </c>
      <c r="D399" s="5" t="inlineStr">
        <is>
          <t>airports</t>
        </is>
      </c>
      <c r="E399" s="5" t="inlineStr">
        <is>
          <t>en</t>
        </is>
      </c>
      <c r="F399" s="5" t="inlineStr">
        <is>
          <t>few-shot</t>
        </is>
      </c>
      <c r="G399" s="5" t="inlineStr">
        <is>
          <t>single_kg2</t>
        </is>
      </c>
      <c r="H399" s="5" t="inlineStr">
        <is>
          <t>single_kg2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18.32</v>
      </c>
    </row>
    <row r="400">
      <c r="A400" s="5" t="inlineStr">
        <is>
          <t>single_kg2_010</t>
        </is>
      </c>
      <c r="B400" s="5" t="n">
        <v>1</v>
      </c>
      <c r="C400" s="5" t="inlineStr">
        <is>
          <t>single_kg2</t>
        </is>
      </c>
      <c r="D400" s="5" t="inlineStr">
        <is>
          <t>airports</t>
        </is>
      </c>
      <c r="E400" s="5" t="inlineStr">
        <is>
          <t>en</t>
        </is>
      </c>
      <c r="F400" s="5" t="inlineStr">
        <is>
          <t>cot</t>
        </is>
      </c>
      <c r="G400" s="5" t="inlineStr">
        <is>
          <t>single_kg2</t>
        </is>
      </c>
      <c r="H400" s="5" t="inlineStr">
        <is>
          <t>single_kg2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19.37</v>
      </c>
    </row>
    <row r="401">
      <c r="A401" s="5" t="inlineStr">
        <is>
          <t>single_kg2_010</t>
        </is>
      </c>
      <c r="B401" s="5" t="n">
        <v>1</v>
      </c>
      <c r="C401" s="5" t="inlineStr">
        <is>
          <t>single_kg2</t>
        </is>
      </c>
      <c r="D401" s="5" t="inlineStr">
        <is>
          <t>airports</t>
        </is>
      </c>
      <c r="E401" s="5" t="inlineStr">
        <is>
          <t>fr</t>
        </is>
      </c>
      <c r="F401" s="5" t="inlineStr">
        <is>
          <t>zero-shot</t>
        </is>
      </c>
      <c r="G401" s="5" t="inlineStr">
        <is>
          <t>single_kg2</t>
        </is>
      </c>
      <c r="H401" s="5" t="inlineStr">
        <is>
          <t>single_kg2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21.56</v>
      </c>
    </row>
    <row r="402">
      <c r="A402" s="5" t="inlineStr">
        <is>
          <t>single_kg2_010</t>
        </is>
      </c>
      <c r="B402" s="5" t="n">
        <v>1</v>
      </c>
      <c r="C402" s="5" t="inlineStr">
        <is>
          <t>single_kg2</t>
        </is>
      </c>
      <c r="D402" s="5" t="inlineStr">
        <is>
          <t>airports</t>
        </is>
      </c>
      <c r="E402" s="5" t="inlineStr">
        <is>
          <t>fr</t>
        </is>
      </c>
      <c r="F402" s="5" t="inlineStr">
        <is>
          <t>few-shot</t>
        </is>
      </c>
      <c r="G402" s="5" t="inlineStr">
        <is>
          <t>single_kg2</t>
        </is>
      </c>
      <c r="H402" s="5" t="inlineStr">
        <is>
          <t>single_kg2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22.85</v>
      </c>
    </row>
    <row r="403">
      <c r="A403" s="5" t="inlineStr">
        <is>
          <t>single_kg2_010</t>
        </is>
      </c>
      <c r="B403" s="5" t="n">
        <v>1</v>
      </c>
      <c r="C403" s="5" t="inlineStr">
        <is>
          <t>single_kg2</t>
        </is>
      </c>
      <c r="D403" s="5" t="inlineStr">
        <is>
          <t>airports</t>
        </is>
      </c>
      <c r="E403" s="5" t="inlineStr">
        <is>
          <t>fr</t>
        </is>
      </c>
      <c r="F403" s="5" t="inlineStr">
        <is>
          <t>cot</t>
        </is>
      </c>
      <c r="G403" s="5" t="inlineStr">
        <is>
          <t>single_kg2</t>
        </is>
      </c>
      <c r="H403" s="5" t="inlineStr">
        <is>
          <t>single_kg2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23.54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ar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20.45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ar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22.44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ar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22.9</v>
      </c>
    </row>
    <row r="407">
      <c r="A407" s="5" t="inlineStr">
        <is>
          <t>single_kg2_011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en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16.88</v>
      </c>
    </row>
    <row r="408">
      <c r="A408" s="5" t="inlineStr">
        <is>
          <t>single_kg2_011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en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12.58</v>
      </c>
    </row>
    <row r="409">
      <c r="A409" s="5" t="inlineStr">
        <is>
          <t>single_kg2_011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en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14.16</v>
      </c>
    </row>
    <row r="410">
      <c r="A410" s="5" t="inlineStr">
        <is>
          <t>single_kg2_011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fr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19.95</v>
      </c>
    </row>
    <row r="411">
      <c r="A411" s="5" t="inlineStr">
        <is>
          <t>single_kg2_011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fr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15.41</v>
      </c>
    </row>
    <row r="412">
      <c r="A412" s="5" t="inlineStr">
        <is>
          <t>single_kg2_011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fr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16.23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ar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19.3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ar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16.19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ar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16.58</v>
      </c>
    </row>
    <row r="416">
      <c r="A416" s="5" t="inlineStr">
        <is>
          <t>single_kg2_012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en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17.74</v>
      </c>
    </row>
    <row r="417">
      <c r="A417" s="5" t="inlineStr">
        <is>
          <t>single_kg2_012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en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13.59</v>
      </c>
    </row>
    <row r="418">
      <c r="A418" s="5" t="inlineStr">
        <is>
          <t>single_kg2_012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en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15.57</v>
      </c>
    </row>
    <row r="419">
      <c r="A419" s="5" t="inlineStr">
        <is>
          <t>single_kg2_012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fr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20.95</v>
      </c>
    </row>
    <row r="420">
      <c r="A420" s="5" t="inlineStr">
        <is>
          <t>single_kg2_012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fr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16.38</v>
      </c>
    </row>
    <row r="421">
      <c r="A421" s="5" t="inlineStr">
        <is>
          <t>single_kg2_012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fr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17.04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ar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15.04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ar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15.8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ar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16.74</v>
      </c>
    </row>
    <row r="425">
      <c r="A425" s="5" t="inlineStr">
        <is>
          <t>single_kg3_005</t>
        </is>
      </c>
      <c r="B425" s="5" t="n">
        <v>1</v>
      </c>
      <c r="C425" s="5" t="inlineStr">
        <is>
          <t>single_kg3</t>
        </is>
      </c>
      <c r="D425" s="5" t="inlineStr">
        <is>
          <t>university</t>
        </is>
      </c>
      <c r="E425" s="5" t="inlineStr">
        <is>
          <t>en</t>
        </is>
      </c>
      <c r="F425" s="5" t="inlineStr">
        <is>
          <t>zero-shot</t>
        </is>
      </c>
      <c r="G425" s="5" t="inlineStr">
        <is>
          <t>single_kg3</t>
        </is>
      </c>
      <c r="H425" s="5" t="inlineStr">
        <is>
          <t>single_kg3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12.8</v>
      </c>
    </row>
    <row r="426">
      <c r="A426" s="5" t="inlineStr">
        <is>
          <t>single_kg3_005</t>
        </is>
      </c>
      <c r="B426" s="5" t="n">
        <v>1</v>
      </c>
      <c r="C426" s="5" t="inlineStr">
        <is>
          <t>single_kg3</t>
        </is>
      </c>
      <c r="D426" s="5" t="inlineStr">
        <is>
          <t>university</t>
        </is>
      </c>
      <c r="E426" s="5" t="inlineStr">
        <is>
          <t>en</t>
        </is>
      </c>
      <c r="F426" s="5" t="inlineStr">
        <is>
          <t>few-shot</t>
        </is>
      </c>
      <c r="G426" s="5" t="inlineStr">
        <is>
          <t>single_kg3</t>
        </is>
      </c>
      <c r="H426" s="5" t="inlineStr">
        <is>
          <t>single_kg3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10.42</v>
      </c>
    </row>
    <row r="427">
      <c r="A427" s="5" t="inlineStr">
        <is>
          <t>single_kg3_005</t>
        </is>
      </c>
      <c r="B427" s="5" t="n">
        <v>1</v>
      </c>
      <c r="C427" s="5" t="inlineStr">
        <is>
          <t>single_kg3</t>
        </is>
      </c>
      <c r="D427" s="5" t="inlineStr">
        <is>
          <t>university</t>
        </is>
      </c>
      <c r="E427" s="5" t="inlineStr">
        <is>
          <t>en</t>
        </is>
      </c>
      <c r="F427" s="5" t="inlineStr">
        <is>
          <t>cot</t>
        </is>
      </c>
      <c r="G427" s="5" t="inlineStr">
        <is>
          <t>single_kg3</t>
        </is>
      </c>
      <c r="H427" s="5" t="inlineStr">
        <is>
          <t>single_kg3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10.69</v>
      </c>
    </row>
    <row r="428">
      <c r="A428" s="5" t="inlineStr">
        <is>
          <t>single_kg3_005</t>
        </is>
      </c>
      <c r="B428" s="5" t="n">
        <v>1</v>
      </c>
      <c r="C428" s="5" t="inlineStr">
        <is>
          <t>single_kg3</t>
        </is>
      </c>
      <c r="D428" s="5" t="inlineStr">
        <is>
          <t>university</t>
        </is>
      </c>
      <c r="E428" s="5" t="inlineStr">
        <is>
          <t>fr</t>
        </is>
      </c>
      <c r="F428" s="5" t="inlineStr">
        <is>
          <t>zero-shot</t>
        </is>
      </c>
      <c r="G428" s="5" t="inlineStr">
        <is>
          <t>single_kg3</t>
        </is>
      </c>
      <c r="H428" s="5" t="inlineStr">
        <is>
          <t>single_kg3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10.24</v>
      </c>
    </row>
    <row r="429">
      <c r="A429" s="5" t="inlineStr">
        <is>
          <t>single_kg3_005</t>
        </is>
      </c>
      <c r="B429" s="5" t="n">
        <v>1</v>
      </c>
      <c r="C429" s="5" t="inlineStr">
        <is>
          <t>single_kg3</t>
        </is>
      </c>
      <c r="D429" s="5" t="inlineStr">
        <is>
          <t>university</t>
        </is>
      </c>
      <c r="E429" s="5" t="inlineStr">
        <is>
          <t>fr</t>
        </is>
      </c>
      <c r="F429" s="5" t="inlineStr">
        <is>
          <t>few-shot</t>
        </is>
      </c>
      <c r="G429" s="5" t="inlineStr">
        <is>
          <t>single_kg3</t>
        </is>
      </c>
      <c r="H429" s="5" t="inlineStr">
        <is>
          <t>single_kg3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11.38</v>
      </c>
    </row>
    <row r="430">
      <c r="A430" s="5" t="inlineStr">
        <is>
          <t>single_kg3_005</t>
        </is>
      </c>
      <c r="B430" s="5" t="n">
        <v>1</v>
      </c>
      <c r="C430" s="5" t="inlineStr">
        <is>
          <t>single_kg3</t>
        </is>
      </c>
      <c r="D430" s="5" t="inlineStr">
        <is>
          <t>university</t>
        </is>
      </c>
      <c r="E430" s="5" t="inlineStr">
        <is>
          <t>fr</t>
        </is>
      </c>
      <c r="F430" s="5" t="inlineStr">
        <is>
          <t>cot</t>
        </is>
      </c>
      <c r="G430" s="5" t="inlineStr">
        <is>
          <t>single_kg3</t>
        </is>
      </c>
      <c r="H430" s="5" t="inlineStr">
        <is>
          <t>single_kg3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11.57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ar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10.94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ar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11.75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ar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11.96</v>
      </c>
    </row>
    <row r="434">
      <c r="A434" s="5" t="inlineStr">
        <is>
          <t>single_kg3_006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en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14.26</v>
      </c>
    </row>
    <row r="435">
      <c r="A435" s="5" t="inlineStr">
        <is>
          <t>single_kg3_006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en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11.82</v>
      </c>
    </row>
    <row r="436">
      <c r="A436" s="5" t="inlineStr">
        <is>
          <t>single_kg3_006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en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12.07</v>
      </c>
    </row>
    <row r="437">
      <c r="A437" s="5" t="inlineStr">
        <is>
          <t>single_kg3_006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fr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11.63</v>
      </c>
    </row>
    <row r="438">
      <c r="A438" s="5" t="inlineStr">
        <is>
          <t>single_kg3_006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fr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12.69</v>
      </c>
    </row>
    <row r="439">
      <c r="A439" s="5" t="inlineStr">
        <is>
          <t>single_kg3_006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fr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12.94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ar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12.03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ar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12.93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ar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13.08</v>
      </c>
    </row>
    <row r="443">
      <c r="A443" s="5" t="inlineStr">
        <is>
          <t>single_kg3_007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en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12.61</v>
      </c>
    </row>
    <row r="444">
      <c r="A444" s="5" t="inlineStr">
        <is>
          <t>single_kg3_007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en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10.54</v>
      </c>
    </row>
    <row r="445">
      <c r="A445" s="5" t="inlineStr">
        <is>
          <t>single_kg3_007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en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10.91</v>
      </c>
    </row>
    <row r="446">
      <c r="A446" s="5" t="inlineStr">
        <is>
          <t>single_kg3_007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fr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12.5</v>
      </c>
    </row>
    <row r="447">
      <c r="A447" s="5" t="inlineStr">
        <is>
          <t>single_kg3_007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fr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11.69</v>
      </c>
    </row>
    <row r="448">
      <c r="A448" s="5" t="inlineStr">
        <is>
          <t>single_kg3_007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fr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11.72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ar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55.76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ar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50.02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ar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53.35</v>
      </c>
    </row>
    <row r="452">
      <c r="A452" s="5" t="inlineStr">
        <is>
          <t>single_kg3_008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en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0</v>
      </c>
      <c r="N452" s="5" t="n">
        <v>0.5</v>
      </c>
      <c r="O452" s="5" t="n">
        <v>55.19</v>
      </c>
    </row>
    <row r="453">
      <c r="A453" s="5" t="inlineStr">
        <is>
          <t>single_kg3_008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en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0</v>
      </c>
      <c r="N453" s="5" t="n">
        <v>0.5</v>
      </c>
      <c r="O453" s="5" t="n">
        <v>45.1</v>
      </c>
    </row>
    <row r="454">
      <c r="A454" s="5" t="inlineStr">
        <is>
          <t>single_kg3_008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en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0</v>
      </c>
      <c r="N454" s="5" t="n">
        <v>0.5</v>
      </c>
      <c r="O454" s="5" t="n">
        <v>48.53</v>
      </c>
    </row>
    <row r="455">
      <c r="A455" s="5" t="inlineStr">
        <is>
          <t>single_kg3_008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fr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0</v>
      </c>
      <c r="N455" s="5" t="n">
        <v>0.5</v>
      </c>
      <c r="O455" s="5" t="n">
        <v>49.5</v>
      </c>
    </row>
    <row r="456">
      <c r="A456" s="5" t="inlineStr">
        <is>
          <t>single_kg3_008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fr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0</v>
      </c>
      <c r="N456" s="5" t="n">
        <v>0.5</v>
      </c>
      <c r="O456" s="5" t="n">
        <v>43.6</v>
      </c>
    </row>
    <row r="457">
      <c r="A457" s="5" t="inlineStr">
        <is>
          <t>single_kg3_008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fr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0</v>
      </c>
      <c r="N457" s="5" t="n">
        <v>0.5</v>
      </c>
      <c r="O457" s="5" t="n">
        <v>44.83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ar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52.82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ar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46.12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ar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45.87</v>
      </c>
    </row>
    <row r="461">
      <c r="A461" s="5" t="inlineStr">
        <is>
          <t>cross_kg_014</t>
        </is>
      </c>
      <c r="B461" s="5" t="n">
        <v>1</v>
      </c>
      <c r="C461" s="5" t="inlineStr">
        <is>
          <t>cross_kg</t>
        </is>
      </c>
      <c r="D461" s="5" t="inlineStr">
        <is>
          <t>cross</t>
        </is>
      </c>
      <c r="E461" s="5" t="inlineStr">
        <is>
          <t>en</t>
        </is>
      </c>
      <c r="F461" s="5" t="inlineStr">
        <is>
          <t>zero-shot</t>
        </is>
      </c>
      <c r="G461" s="5" t="inlineStr">
        <is>
          <t>cross_kg</t>
        </is>
      </c>
      <c r="H461" s="5" t="inlineStr">
        <is>
          <t>cross_kg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18.78</v>
      </c>
    </row>
    <row r="462">
      <c r="A462" s="5" t="inlineStr">
        <is>
          <t>cross_kg_014</t>
        </is>
      </c>
      <c r="B462" s="5" t="n">
        <v>1</v>
      </c>
      <c r="C462" s="5" t="inlineStr">
        <is>
          <t>cross_kg</t>
        </is>
      </c>
      <c r="D462" s="5" t="inlineStr">
        <is>
          <t>cross</t>
        </is>
      </c>
      <c r="E462" s="5" t="inlineStr">
        <is>
          <t>en</t>
        </is>
      </c>
      <c r="F462" s="5" t="inlineStr">
        <is>
          <t>few-shot</t>
        </is>
      </c>
      <c r="G462" s="5" t="inlineStr">
        <is>
          <t>cross_kg</t>
        </is>
      </c>
      <c r="H462" s="5" t="inlineStr">
        <is>
          <t>cross_kg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15.14</v>
      </c>
    </row>
    <row r="463">
      <c r="A463" s="5" t="inlineStr">
        <is>
          <t>cross_kg_014</t>
        </is>
      </c>
      <c r="B463" s="5" t="n">
        <v>1</v>
      </c>
      <c r="C463" s="5" t="inlineStr">
        <is>
          <t>cross_kg</t>
        </is>
      </c>
      <c r="D463" s="5" t="inlineStr">
        <is>
          <t>cross</t>
        </is>
      </c>
      <c r="E463" s="5" t="inlineStr">
        <is>
          <t>en</t>
        </is>
      </c>
      <c r="F463" s="5" t="inlineStr">
        <is>
          <t>cot</t>
        </is>
      </c>
      <c r="G463" s="5" t="inlineStr">
        <is>
          <t>cross_kg</t>
        </is>
      </c>
      <c r="H463" s="5" t="inlineStr">
        <is>
          <t>cross_kg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16.96</v>
      </c>
    </row>
    <row r="464">
      <c r="A464" s="5" t="inlineStr">
        <is>
          <t>cross_kg_014</t>
        </is>
      </c>
      <c r="B464" s="5" t="n">
        <v>1</v>
      </c>
      <c r="C464" s="5" t="inlineStr">
        <is>
          <t>cross_kg</t>
        </is>
      </c>
      <c r="D464" s="5" t="inlineStr">
        <is>
          <t>cross</t>
        </is>
      </c>
      <c r="E464" s="5" t="inlineStr">
        <is>
          <t>fr</t>
        </is>
      </c>
      <c r="F464" s="5" t="inlineStr">
        <is>
          <t>zero-shot</t>
        </is>
      </c>
      <c r="G464" s="5" t="inlineStr">
        <is>
          <t>cross_kg</t>
        </is>
      </c>
      <c r="H464" s="5" t="inlineStr">
        <is>
          <t>cross_kg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18.93</v>
      </c>
    </row>
    <row r="465">
      <c r="A465" s="5" t="inlineStr">
        <is>
          <t>cross_kg_014</t>
        </is>
      </c>
      <c r="B465" s="5" t="n">
        <v>1</v>
      </c>
      <c r="C465" s="5" t="inlineStr">
        <is>
          <t>cross_kg</t>
        </is>
      </c>
      <c r="D465" s="5" t="inlineStr">
        <is>
          <t>cross</t>
        </is>
      </c>
      <c r="E465" s="5" t="inlineStr">
        <is>
          <t>fr</t>
        </is>
      </c>
      <c r="F465" s="5" t="inlineStr">
        <is>
          <t>few-shot</t>
        </is>
      </c>
      <c r="G465" s="5" t="inlineStr">
        <is>
          <t>cross_kg</t>
        </is>
      </c>
      <c r="H465" s="5" t="inlineStr">
        <is>
          <t>cross_kg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15.45</v>
      </c>
    </row>
    <row r="466">
      <c r="A466" s="5" t="inlineStr">
        <is>
          <t>cross_kg_014</t>
        </is>
      </c>
      <c r="B466" s="5" t="n">
        <v>1</v>
      </c>
      <c r="C466" s="5" t="inlineStr">
        <is>
          <t>cross_kg</t>
        </is>
      </c>
      <c r="D466" s="5" t="inlineStr">
        <is>
          <t>cross</t>
        </is>
      </c>
      <c r="E466" s="5" t="inlineStr">
        <is>
          <t>fr</t>
        </is>
      </c>
      <c r="F466" s="5" t="inlineStr">
        <is>
          <t>cot</t>
        </is>
      </c>
      <c r="G466" s="5" t="inlineStr">
        <is>
          <t>cross_kg</t>
        </is>
      </c>
      <c r="H466" s="5" t="inlineStr">
        <is>
          <t>cross_kg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15.81</v>
      </c>
    </row>
    <row r="467">
      <c r="A467" s="5" t="inlineStr">
        <is>
          <t>cross_kg_014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ar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17.81</v>
      </c>
    </row>
    <row r="468">
      <c r="A468" s="5" t="inlineStr">
        <is>
          <t>cross_kg_014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ar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14.11</v>
      </c>
    </row>
    <row r="469">
      <c r="A469" s="5" t="inlineStr">
        <is>
          <t>cross_kg_014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ar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15.02</v>
      </c>
    </row>
    <row r="470">
      <c r="A470" s="5" t="inlineStr">
        <is>
          <t>cross_kg_015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en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17.31</v>
      </c>
    </row>
    <row r="471">
      <c r="A471" s="5" t="inlineStr">
        <is>
          <t>cross_kg_015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en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15.79</v>
      </c>
    </row>
    <row r="472">
      <c r="A472" s="5" t="inlineStr">
        <is>
          <t>cross_kg_015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en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15.56</v>
      </c>
    </row>
    <row r="473">
      <c r="A473" s="5" t="inlineStr">
        <is>
          <t>cross_kg_015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fr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17.69</v>
      </c>
    </row>
    <row r="474">
      <c r="A474" s="5" t="inlineStr">
        <is>
          <t>cross_kg_015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fr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15.62</v>
      </c>
    </row>
    <row r="475">
      <c r="A475" s="5" t="inlineStr">
        <is>
          <t>cross_kg_015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fr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17.28</v>
      </c>
    </row>
    <row r="476">
      <c r="A476" s="5" t="inlineStr">
        <is>
          <t>cross_kg_015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ar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18</v>
      </c>
    </row>
    <row r="477">
      <c r="A477" s="5" t="inlineStr">
        <is>
          <t>cross_kg_015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ar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15.66</v>
      </c>
    </row>
    <row r="478">
      <c r="A478" s="5" t="inlineStr">
        <is>
          <t>cross_kg_015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ar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16.18</v>
      </c>
    </row>
    <row r="479">
      <c r="A479" s="5" t="inlineStr">
        <is>
          <t>ask_query_005</t>
        </is>
      </c>
      <c r="B479" s="5" t="n">
        <v>3</v>
      </c>
      <c r="C479" s="5" t="inlineStr">
        <is>
          <t>ask_query</t>
        </is>
      </c>
      <c r="D479" s="5" t="inlineStr">
        <is>
          <t>mixed</t>
        </is>
      </c>
      <c r="E479" s="5" t="inlineStr">
        <is>
          <t>en</t>
        </is>
      </c>
      <c r="F479" s="5" t="inlineStr">
        <is>
          <t>zero-shot</t>
        </is>
      </c>
      <c r="G479" s="5" t="inlineStr">
        <is>
          <t>ask_query</t>
        </is>
      </c>
      <c r="H479" s="5" t="inlineStr">
        <is>
          <t>ask_query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8.710000000000001</v>
      </c>
    </row>
    <row r="480">
      <c r="A480" s="5" t="inlineStr">
        <is>
          <t>ask_query_005</t>
        </is>
      </c>
      <c r="B480" s="5" t="n">
        <v>3</v>
      </c>
      <c r="C480" s="5" t="inlineStr">
        <is>
          <t>ask_query</t>
        </is>
      </c>
      <c r="D480" s="5" t="inlineStr">
        <is>
          <t>mixed</t>
        </is>
      </c>
      <c r="E480" s="5" t="inlineStr">
        <is>
          <t>fr</t>
        </is>
      </c>
      <c r="F480" s="5" t="inlineStr">
        <is>
          <t>zero-shot</t>
        </is>
      </c>
      <c r="G480" s="5" t="inlineStr">
        <is>
          <t>ask_query</t>
        </is>
      </c>
      <c r="H480" s="5" t="inlineStr">
        <is>
          <t>ask_query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5.09</v>
      </c>
    </row>
    <row r="481">
      <c r="A481" s="5" t="inlineStr">
        <is>
          <t>ask_query_005</t>
        </is>
      </c>
      <c r="B481" s="5" t="n">
        <v>3</v>
      </c>
      <c r="C481" s="5" t="inlineStr">
        <is>
          <t>ask_query</t>
        </is>
      </c>
      <c r="D481" s="5" t="inlineStr">
        <is>
          <t>mixed</t>
        </is>
      </c>
      <c r="E481" s="5" t="inlineStr">
        <is>
          <t>ar</t>
        </is>
      </c>
      <c r="F481" s="5" t="inlineStr">
        <is>
          <t>zero-shot</t>
        </is>
      </c>
      <c r="G481" s="5" t="inlineStr">
        <is>
          <t>ask_query</t>
        </is>
      </c>
      <c r="H481" s="5" t="inlineStr">
        <is>
          <t>out_of_scope</t>
        </is>
      </c>
      <c r="I481" s="5" t="b">
        <v>0</v>
      </c>
      <c r="J481" s="5" t="b">
        <v>0</v>
      </c>
      <c r="K481" s="5" t="inlineStr">
        <is>
          <t>routing_miss</t>
        </is>
      </c>
      <c r="L481" s="5" t="n"/>
      <c r="M481" s="5" t="n"/>
      <c r="N481" s="5" t="n"/>
      <c r="O481" s="5" t="n">
        <v>4.36</v>
      </c>
    </row>
    <row r="482">
      <c r="A482" s="5" t="inlineStr">
        <is>
          <t>ranking_kg1_001</t>
        </is>
      </c>
      <c r="B482" s="5" t="n">
        <v>2</v>
      </c>
      <c r="C482" s="5" t="inlineStr">
        <is>
          <t>ranking_kg1</t>
        </is>
      </c>
      <c r="D482" s="5" t="inlineStr">
        <is>
          <t>flights</t>
        </is>
      </c>
      <c r="E482" s="5" t="inlineStr">
        <is>
          <t>en</t>
        </is>
      </c>
      <c r="F482" s="5" t="inlineStr">
        <is>
          <t>zero-shot</t>
        </is>
      </c>
      <c r="G482" s="5" t="inlineStr">
        <is>
          <t>ranking_kg1</t>
        </is>
      </c>
      <c r="H482" s="5" t="inlineStr">
        <is>
          <t>template</t>
        </is>
      </c>
      <c r="I482" s="5" t="b">
        <v>0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10.87</v>
      </c>
    </row>
    <row r="483">
      <c r="A483" s="5" t="inlineStr">
        <is>
          <t>ranking_kg1_001</t>
        </is>
      </c>
      <c r="B483" s="5" t="n">
        <v>2</v>
      </c>
      <c r="C483" s="5" t="inlineStr">
        <is>
          <t>ranking_kg1</t>
        </is>
      </c>
      <c r="D483" s="5" t="inlineStr">
        <is>
          <t>flights</t>
        </is>
      </c>
      <c r="E483" s="5" t="inlineStr">
        <is>
          <t>fr</t>
        </is>
      </c>
      <c r="F483" s="5" t="inlineStr">
        <is>
          <t>zero-shot</t>
        </is>
      </c>
      <c r="G483" s="5" t="inlineStr">
        <is>
          <t>ranking_kg1</t>
        </is>
      </c>
      <c r="H483" s="5" t="inlineStr">
        <is>
          <t>template</t>
        </is>
      </c>
      <c r="I483" s="5" t="b">
        <v>0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7.81</v>
      </c>
    </row>
    <row r="484">
      <c r="A484" s="5" t="inlineStr">
        <is>
          <t>ranking_kg1_001</t>
        </is>
      </c>
      <c r="B484" s="5" t="n">
        <v>2</v>
      </c>
      <c r="C484" s="5" t="inlineStr">
        <is>
          <t>ranking_kg1</t>
        </is>
      </c>
      <c r="D484" s="5" t="inlineStr">
        <is>
          <t>flights</t>
        </is>
      </c>
      <c r="E484" s="5" t="inlineStr">
        <is>
          <t>ar</t>
        </is>
      </c>
      <c r="F484" s="5" t="inlineStr">
        <is>
          <t>zero-shot</t>
        </is>
      </c>
      <c r="G484" s="5" t="inlineStr">
        <is>
          <t>ranking_kg1</t>
        </is>
      </c>
      <c r="H484" s="5" t="inlineStr">
        <is>
          <t>open_kg</t>
        </is>
      </c>
      <c r="I484" s="5" t="b">
        <v>0</v>
      </c>
      <c r="J484" s="5" t="b">
        <v>0</v>
      </c>
      <c r="K484" s="5" t="inlineStr">
        <is>
          <t>generation_failure</t>
        </is>
      </c>
      <c r="L484" s="5" t="n"/>
      <c r="M484" s="5" t="n">
        <v>0</v>
      </c>
      <c r="N484" s="5" t="n">
        <v>0</v>
      </c>
      <c r="O484" s="5" t="n">
        <v>32.62</v>
      </c>
    </row>
    <row r="485">
      <c r="A485" s="5" t="inlineStr">
        <is>
          <t>single_kg3_009</t>
        </is>
      </c>
      <c r="B485" s="5" t="n">
        <v>2</v>
      </c>
      <c r="C485" s="5" t="inlineStr">
        <is>
          <t>single_kg3</t>
        </is>
      </c>
      <c r="D485" s="5" t="inlineStr">
        <is>
          <t>university</t>
        </is>
      </c>
      <c r="E485" s="5" t="inlineStr">
        <is>
          <t>en</t>
        </is>
      </c>
      <c r="F485" s="5" t="inlineStr">
        <is>
          <t>zero-shot</t>
        </is>
      </c>
      <c r="G485" s="5" t="n">
        <v/>
      </c>
      <c r="H485" s="5" t="inlineStr">
        <is>
          <t>single_kg3</t>
        </is>
      </c>
      <c r="I485" s="5" t="b">
        <v>0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12.52</v>
      </c>
    </row>
    <row r="486">
      <c r="A486" s="5" t="inlineStr">
        <is>
          <t>single_kg3_009</t>
        </is>
      </c>
      <c r="B486" s="5" t="n">
        <v>2</v>
      </c>
      <c r="C486" s="5" t="inlineStr">
        <is>
          <t>single_kg3</t>
        </is>
      </c>
      <c r="D486" s="5" t="inlineStr">
        <is>
          <t>university</t>
        </is>
      </c>
      <c r="E486" s="5" t="inlineStr">
        <is>
          <t>en</t>
        </is>
      </c>
      <c r="F486" s="5" t="inlineStr">
        <is>
          <t>few-shot</t>
        </is>
      </c>
      <c r="G486" s="5" t="n">
        <v/>
      </c>
      <c r="H486" s="5" t="inlineStr">
        <is>
          <t>single_kg3</t>
        </is>
      </c>
      <c r="I486" s="5" t="b">
        <v>0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10.88</v>
      </c>
    </row>
    <row r="487">
      <c r="A487" s="5" t="inlineStr">
        <is>
          <t>single_kg3_009</t>
        </is>
      </c>
      <c r="B487" s="5" t="n">
        <v>2</v>
      </c>
      <c r="C487" s="5" t="inlineStr">
        <is>
          <t>single_kg3</t>
        </is>
      </c>
      <c r="D487" s="5" t="inlineStr">
        <is>
          <t>university</t>
        </is>
      </c>
      <c r="E487" s="5" t="inlineStr">
        <is>
          <t>en</t>
        </is>
      </c>
      <c r="F487" s="5" t="inlineStr">
        <is>
          <t>cot</t>
        </is>
      </c>
      <c r="G487" s="5" t="n">
        <v/>
      </c>
      <c r="H487" s="5" t="inlineStr">
        <is>
          <t>single_kg3</t>
        </is>
      </c>
      <c r="I487" s="5" t="b">
        <v>0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10.87</v>
      </c>
    </row>
    <row r="488">
      <c r="A488" s="5" t="inlineStr">
        <is>
          <t>single_kg3_009</t>
        </is>
      </c>
      <c r="B488" s="5" t="n">
        <v>2</v>
      </c>
      <c r="C488" s="5" t="inlineStr">
        <is>
          <t>single_kg3</t>
        </is>
      </c>
      <c r="D488" s="5" t="inlineStr">
        <is>
          <t>university</t>
        </is>
      </c>
      <c r="E488" s="5" t="inlineStr">
        <is>
          <t>fr</t>
        </is>
      </c>
      <c r="F488" s="5" t="inlineStr">
        <is>
          <t>zero-shot</t>
        </is>
      </c>
      <c r="G488" s="5" t="n">
        <v/>
      </c>
      <c r="H488" s="5" t="inlineStr">
        <is>
          <t>single_kg3</t>
        </is>
      </c>
      <c r="I488" s="5" t="b">
        <v>0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12.3</v>
      </c>
    </row>
    <row r="489">
      <c r="A489" s="5" t="inlineStr">
        <is>
          <t>single_kg3_009</t>
        </is>
      </c>
      <c r="B489" s="5" t="n">
        <v>2</v>
      </c>
      <c r="C489" s="5" t="inlineStr">
        <is>
          <t>single_kg3</t>
        </is>
      </c>
      <c r="D489" s="5" t="inlineStr">
        <is>
          <t>university</t>
        </is>
      </c>
      <c r="E489" s="5" t="inlineStr">
        <is>
          <t>fr</t>
        </is>
      </c>
      <c r="F489" s="5" t="inlineStr">
        <is>
          <t>few-shot</t>
        </is>
      </c>
      <c r="G489" s="5" t="n">
        <v/>
      </c>
      <c r="H489" s="5" t="inlineStr">
        <is>
          <t>single_kg3</t>
        </is>
      </c>
      <c r="I489" s="5" t="b">
        <v>0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12.02</v>
      </c>
    </row>
    <row r="490">
      <c r="A490" s="5" t="inlineStr">
        <is>
          <t>single_kg3_009</t>
        </is>
      </c>
      <c r="B490" s="5" t="n">
        <v>2</v>
      </c>
      <c r="C490" s="5" t="inlineStr">
        <is>
          <t>single_kg3</t>
        </is>
      </c>
      <c r="D490" s="5" t="inlineStr">
        <is>
          <t>university</t>
        </is>
      </c>
      <c r="E490" s="5" t="inlineStr">
        <is>
          <t>fr</t>
        </is>
      </c>
      <c r="F490" s="5" t="inlineStr">
        <is>
          <t>cot</t>
        </is>
      </c>
      <c r="G490" s="5" t="n">
        <v/>
      </c>
      <c r="H490" s="5" t="inlineStr">
        <is>
          <t>single_kg3</t>
        </is>
      </c>
      <c r="I490" s="5" t="b">
        <v>0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12.11</v>
      </c>
    </row>
    <row r="491">
      <c r="A491" s="5" t="inlineStr">
        <is>
          <t>single_kg3_009</t>
        </is>
      </c>
      <c r="B491" s="5" t="n">
        <v>2</v>
      </c>
      <c r="C491" s="5" t="inlineStr">
        <is>
          <t>single_kg3</t>
        </is>
      </c>
      <c r="D491" s="5" t="inlineStr">
        <is>
          <t>university</t>
        </is>
      </c>
      <c r="E491" s="5" t="inlineStr">
        <is>
          <t>ar</t>
        </is>
      </c>
      <c r="F491" s="5" t="inlineStr">
        <is>
          <t>zero-shot</t>
        </is>
      </c>
      <c r="G491" s="5" t="n">
        <v/>
      </c>
      <c r="H491" s="5" t="inlineStr">
        <is>
          <t>single_kg3</t>
        </is>
      </c>
      <c r="I491" s="5" t="b">
        <v>0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13.62</v>
      </c>
    </row>
    <row r="492">
      <c r="A492" s="5" t="inlineStr">
        <is>
          <t>single_kg3_009</t>
        </is>
      </c>
      <c r="B492" s="5" t="n">
        <v>2</v>
      </c>
      <c r="C492" s="5" t="inlineStr">
        <is>
          <t>single_kg3</t>
        </is>
      </c>
      <c r="D492" s="5" t="inlineStr">
        <is>
          <t>university</t>
        </is>
      </c>
      <c r="E492" s="5" t="inlineStr">
        <is>
          <t>ar</t>
        </is>
      </c>
      <c r="F492" s="5" t="inlineStr">
        <is>
          <t>few-shot</t>
        </is>
      </c>
      <c r="G492" s="5" t="n">
        <v/>
      </c>
      <c r="H492" s="5" t="inlineStr">
        <is>
          <t>single_kg3</t>
        </is>
      </c>
      <c r="I492" s="5" t="b">
        <v>0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12.2</v>
      </c>
    </row>
    <row r="493">
      <c r="A493" s="5" t="inlineStr">
        <is>
          <t>single_kg3_009</t>
        </is>
      </c>
      <c r="B493" s="5" t="n">
        <v>2</v>
      </c>
      <c r="C493" s="5" t="inlineStr">
        <is>
          <t>single_kg3</t>
        </is>
      </c>
      <c r="D493" s="5" t="inlineStr">
        <is>
          <t>university</t>
        </is>
      </c>
      <c r="E493" s="5" t="inlineStr">
        <is>
          <t>ar</t>
        </is>
      </c>
      <c r="F493" s="5" t="inlineStr">
        <is>
          <t>cot</t>
        </is>
      </c>
      <c r="G493" s="5" t="n">
        <v/>
      </c>
      <c r="H493" s="5" t="inlineStr">
        <is>
          <t>single_kg3</t>
        </is>
      </c>
      <c r="I493" s="5" t="b">
        <v>0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12.68</v>
      </c>
    </row>
    <row r="494">
      <c r="A494" s="5" t="inlineStr">
        <is>
          <t>count_kg2_001</t>
        </is>
      </c>
      <c r="B494" s="5" t="n">
        <v>2</v>
      </c>
      <c r="C494" s="5" t="inlineStr">
        <is>
          <t>count_kg2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count_kg2</t>
        </is>
      </c>
      <c r="H494" s="5" t="inlineStr">
        <is>
          <t>template</t>
        </is>
      </c>
      <c r="I494" s="5" t="b">
        <v>0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10.49</v>
      </c>
    </row>
    <row r="495">
      <c r="A495" s="5" t="inlineStr">
        <is>
          <t>count_kg2_001</t>
        </is>
      </c>
      <c r="B495" s="5" t="n">
        <v>2</v>
      </c>
      <c r="C495" s="5" t="inlineStr">
        <is>
          <t>count_kg2</t>
        </is>
      </c>
      <c r="D495" s="5" t="inlineStr">
        <is>
          <t>airports</t>
        </is>
      </c>
      <c r="E495" s="5" t="inlineStr">
        <is>
          <t>fr</t>
        </is>
      </c>
      <c r="F495" s="5" t="inlineStr">
        <is>
          <t>zero-shot</t>
        </is>
      </c>
      <c r="G495" s="5" t="inlineStr">
        <is>
          <t>count_kg2</t>
        </is>
      </c>
      <c r="H495" s="5" t="inlineStr">
        <is>
          <t>template</t>
        </is>
      </c>
      <c r="I495" s="5" t="b">
        <v>0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11.38</v>
      </c>
    </row>
    <row r="496">
      <c r="A496" s="5" t="inlineStr">
        <is>
          <t>count_kg2_001</t>
        </is>
      </c>
      <c r="B496" s="5" t="n">
        <v>2</v>
      </c>
      <c r="C496" s="5" t="inlineStr">
        <is>
          <t>count_kg2</t>
        </is>
      </c>
      <c r="D496" s="5" t="inlineStr">
        <is>
          <t>airports</t>
        </is>
      </c>
      <c r="E496" s="5" t="inlineStr">
        <is>
          <t>ar</t>
        </is>
      </c>
      <c r="F496" s="5" t="inlineStr">
        <is>
          <t>zero-shot</t>
        </is>
      </c>
      <c r="G496" s="5" t="inlineStr">
        <is>
          <t>count_kg2</t>
        </is>
      </c>
      <c r="H496" s="5" t="inlineStr">
        <is>
          <t>template</t>
        </is>
      </c>
      <c r="I496" s="5" t="b">
        <v>0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11.19</v>
      </c>
    </row>
    <row r="497">
      <c r="A497" s="5" t="inlineStr">
        <is>
          <t>compare_two_flights_001</t>
        </is>
      </c>
      <c r="B497" s="5" t="n">
        <v>2</v>
      </c>
      <c r="C497" s="5" t="inlineStr">
        <is>
          <t>compare_two_flights</t>
        </is>
      </c>
      <c r="D497" s="5" t="inlineStr">
        <is>
          <t>flights</t>
        </is>
      </c>
      <c r="E497" s="5" t="inlineStr">
        <is>
          <t>en</t>
        </is>
      </c>
      <c r="F497" s="5" t="inlineStr">
        <is>
          <t>zero-shot</t>
        </is>
      </c>
      <c r="G497" s="5" t="inlineStr">
        <is>
          <t>compare_two_flights</t>
        </is>
      </c>
      <c r="H497" s="5" t="inlineStr">
        <is>
          <t>template</t>
        </is>
      </c>
      <c r="I497" s="5" t="b">
        <v>0</v>
      </c>
      <c r="J497" s="5" t="b">
        <v>1</v>
      </c>
      <c r="K497" s="5" t="inlineStr">
        <is>
          <t>success</t>
        </is>
      </c>
      <c r="L497" s="5" t="n"/>
      <c r="M497" s="5" t="n">
        <v>0</v>
      </c>
      <c r="N497" s="5" t="n">
        <v>0.2222</v>
      </c>
      <c r="O497" s="5" t="n">
        <v>0.02</v>
      </c>
    </row>
    <row r="498">
      <c r="A498" s="5" t="inlineStr">
        <is>
          <t>compare_two_flights_001</t>
        </is>
      </c>
      <c r="B498" s="5" t="n">
        <v>2</v>
      </c>
      <c r="C498" s="5" t="inlineStr">
        <is>
          <t>compare_two_flights</t>
        </is>
      </c>
      <c r="D498" s="5" t="inlineStr">
        <is>
          <t>flights</t>
        </is>
      </c>
      <c r="E498" s="5" t="inlineStr">
        <is>
          <t>fr</t>
        </is>
      </c>
      <c r="F498" s="5" t="inlineStr">
        <is>
          <t>zero-shot</t>
        </is>
      </c>
      <c r="G498" s="5" t="inlineStr">
        <is>
          <t>compare_two_flights</t>
        </is>
      </c>
      <c r="H498" s="5" t="inlineStr">
        <is>
          <t>template</t>
        </is>
      </c>
      <c r="I498" s="5" t="b">
        <v>0</v>
      </c>
      <c r="J498" s="5" t="b">
        <v>1</v>
      </c>
      <c r="K498" s="5" t="inlineStr">
        <is>
          <t>success</t>
        </is>
      </c>
      <c r="L498" s="5" t="n"/>
      <c r="M498" s="5" t="n">
        <v>0</v>
      </c>
      <c r="N498" s="5" t="n">
        <v>0.2222</v>
      </c>
      <c r="O498" s="5" t="n">
        <v>0.02</v>
      </c>
    </row>
    <row r="499">
      <c r="A499" s="5" t="inlineStr">
        <is>
          <t>compare_two_flights_001</t>
        </is>
      </c>
      <c r="B499" s="5" t="n">
        <v>2</v>
      </c>
      <c r="C499" s="5" t="inlineStr">
        <is>
          <t>compare_two_flights</t>
        </is>
      </c>
      <c r="D499" s="5" t="inlineStr">
        <is>
          <t>flights</t>
        </is>
      </c>
      <c r="E499" s="5" t="inlineStr">
        <is>
          <t>ar</t>
        </is>
      </c>
      <c r="F499" s="5" t="inlineStr">
        <is>
          <t>zero-shot</t>
        </is>
      </c>
      <c r="G499" s="5" t="inlineStr">
        <is>
          <t>compare_two_flights</t>
        </is>
      </c>
      <c r="H499" s="5" t="inlineStr">
        <is>
          <t>open_kg</t>
        </is>
      </c>
      <c r="I499" s="5" t="b">
        <v>0</v>
      </c>
      <c r="J499" s="5" t="b">
        <v>0</v>
      </c>
      <c r="K499" s="5" t="inlineStr">
        <is>
          <t>generation_failure</t>
        </is>
      </c>
      <c r="L499" s="5" t="n"/>
      <c r="M499" s="5" t="n">
        <v>0</v>
      </c>
      <c r="N499" s="5" t="n">
        <v>0</v>
      </c>
      <c r="O499" s="5" t="n">
        <v>59.2</v>
      </c>
    </row>
    <row r="500">
      <c r="A500" s="5" t="inlineStr">
        <is>
          <t>filter_numeric_kg3_002</t>
        </is>
      </c>
      <c r="B500" s="5" t="n">
        <v>1</v>
      </c>
      <c r="C500" s="5" t="inlineStr">
        <is>
          <t>filter_numeric_kg3</t>
        </is>
      </c>
      <c r="D500" s="5" t="inlineStr">
        <is>
          <t>university</t>
        </is>
      </c>
      <c r="E500" s="5" t="inlineStr">
        <is>
          <t>en</t>
        </is>
      </c>
      <c r="F500" s="5" t="inlineStr">
        <is>
          <t>zero-shot</t>
        </is>
      </c>
      <c r="G500" s="5" t="inlineStr">
        <is>
          <t>filter_numeric_kg3</t>
        </is>
      </c>
      <c r="H500" s="5" t="inlineStr">
        <is>
          <t>template</t>
        </is>
      </c>
      <c r="I500" s="5" t="b">
        <v>0</v>
      </c>
      <c r="J500" s="5" t="b">
        <v>1</v>
      </c>
      <c r="K500" s="5" t="inlineStr">
        <is>
          <t>success</t>
        </is>
      </c>
      <c r="L500" s="5" t="n"/>
      <c r="M500" s="5" t="n">
        <v>0</v>
      </c>
      <c r="N500" s="5" t="n">
        <v>0.3333</v>
      </c>
      <c r="O500" s="5" t="n">
        <v>0.09</v>
      </c>
    </row>
    <row r="501">
      <c r="A501" s="5" t="inlineStr">
        <is>
          <t>filter_numeric_kg3_002</t>
        </is>
      </c>
      <c r="B501" s="5" t="n">
        <v>1</v>
      </c>
      <c r="C501" s="5" t="inlineStr">
        <is>
          <t>filter_numeric_kg3</t>
        </is>
      </c>
      <c r="D501" s="5" t="inlineStr">
        <is>
          <t>university</t>
        </is>
      </c>
      <c r="E501" s="5" t="inlineStr">
        <is>
          <t>fr</t>
        </is>
      </c>
      <c r="F501" s="5" t="inlineStr">
        <is>
          <t>zero-shot</t>
        </is>
      </c>
      <c r="G501" s="5" t="inlineStr">
        <is>
          <t>filter_numeric_kg3</t>
        </is>
      </c>
      <c r="H501" s="5" t="inlineStr">
        <is>
          <t>template</t>
        </is>
      </c>
      <c r="I501" s="5" t="b">
        <v>0</v>
      </c>
      <c r="J501" s="5" t="b">
        <v>1</v>
      </c>
      <c r="K501" s="5" t="inlineStr">
        <is>
          <t>success</t>
        </is>
      </c>
      <c r="L501" s="5" t="n"/>
      <c r="M501" s="5" t="n">
        <v>0</v>
      </c>
      <c r="N501" s="5" t="n">
        <v>0.3333</v>
      </c>
      <c r="O501" s="5" t="n">
        <v>1.92</v>
      </c>
    </row>
    <row r="502">
      <c r="A502" s="5" t="inlineStr">
        <is>
          <t>filter_numeric_kg3_002</t>
        </is>
      </c>
      <c r="B502" s="5" t="n">
        <v>1</v>
      </c>
      <c r="C502" s="5" t="inlineStr">
        <is>
          <t>filter_numeric_kg3</t>
        </is>
      </c>
      <c r="D502" s="5" t="inlineStr">
        <is>
          <t>university</t>
        </is>
      </c>
      <c r="E502" s="5" t="inlineStr">
        <is>
          <t>ar</t>
        </is>
      </c>
      <c r="F502" s="5" t="inlineStr">
        <is>
          <t>zero-shot</t>
        </is>
      </c>
      <c r="G502" s="5" t="inlineStr">
        <is>
          <t>filter_numeric_kg3</t>
        </is>
      </c>
      <c r="H502" s="5" t="inlineStr">
        <is>
          <t>template</t>
        </is>
      </c>
      <c r="I502" s="5" t="b">
        <v>0</v>
      </c>
      <c r="J502" s="5" t="b">
        <v>1</v>
      </c>
      <c r="K502" s="5" t="inlineStr">
        <is>
          <t>success</t>
        </is>
      </c>
      <c r="L502" s="5" t="n"/>
      <c r="M502" s="5" t="n">
        <v>0</v>
      </c>
      <c r="N502" s="5" t="n">
        <v>0</v>
      </c>
      <c r="O502" s="5" t="n">
        <v>6.53</v>
      </c>
    </row>
    <row r="503">
      <c r="A503" s="5" t="inlineStr">
        <is>
          <t>single_kg3_010</t>
        </is>
      </c>
      <c r="B503" s="5" t="n">
        <v>1</v>
      </c>
      <c r="C503" s="5" t="inlineStr">
        <is>
          <t>single_kg3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single_kg3</t>
        </is>
      </c>
      <c r="H503" s="5" t="inlineStr">
        <is>
          <t>single_kg3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12.81</v>
      </c>
    </row>
    <row r="504">
      <c r="A504" s="5" t="inlineStr">
        <is>
          <t>single_kg3_010</t>
        </is>
      </c>
      <c r="B504" s="5" t="n">
        <v>1</v>
      </c>
      <c r="C504" s="5" t="inlineStr">
        <is>
          <t>single_kg3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single_kg3</t>
        </is>
      </c>
      <c r="H504" s="5" t="inlineStr">
        <is>
          <t>single_kg3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10.11</v>
      </c>
    </row>
    <row r="505">
      <c r="A505" s="5" t="inlineStr">
        <is>
          <t>single_kg3_010</t>
        </is>
      </c>
      <c r="B505" s="5" t="n">
        <v>1</v>
      </c>
      <c r="C505" s="5" t="inlineStr">
        <is>
          <t>single_kg3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single_kg3</t>
        </is>
      </c>
      <c r="H505" s="5" t="inlineStr">
        <is>
          <t>single_kg3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10.87</v>
      </c>
    </row>
    <row r="506">
      <c r="A506" s="5" t="inlineStr">
        <is>
          <t>single_kg3_010</t>
        </is>
      </c>
      <c r="B506" s="5" t="n">
        <v>1</v>
      </c>
      <c r="C506" s="5" t="inlineStr">
        <is>
          <t>single_kg3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single_kg3</t>
        </is>
      </c>
      <c r="H506" s="5" t="inlineStr">
        <is>
          <t>single_kg3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10.46</v>
      </c>
    </row>
    <row r="507">
      <c r="A507" s="5" t="inlineStr">
        <is>
          <t>single_kg3_010</t>
        </is>
      </c>
      <c r="B507" s="5" t="n">
        <v>1</v>
      </c>
      <c r="C507" s="5" t="inlineStr">
        <is>
          <t>single_kg3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single_kg3</t>
        </is>
      </c>
      <c r="H507" s="5" t="inlineStr">
        <is>
          <t>single_kg3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11.59</v>
      </c>
    </row>
    <row r="508">
      <c r="A508" s="5" t="inlineStr">
        <is>
          <t>single_kg3_010</t>
        </is>
      </c>
      <c r="B508" s="5" t="n">
        <v>1</v>
      </c>
      <c r="C508" s="5" t="inlineStr">
        <is>
          <t>single_kg3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single_kg3</t>
        </is>
      </c>
      <c r="H508" s="5" t="inlineStr">
        <is>
          <t>single_kg3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12.11</v>
      </c>
    </row>
    <row r="509">
      <c r="A509" s="5" t="inlineStr">
        <is>
          <t>single_kg3_010</t>
        </is>
      </c>
      <c r="B509" s="5" t="n">
        <v>1</v>
      </c>
      <c r="C509" s="5" t="inlineStr">
        <is>
          <t>single_kg3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single_kg3</t>
        </is>
      </c>
      <c r="H509" s="5" t="inlineStr">
        <is>
          <t>single_kg3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11.78</v>
      </c>
    </row>
    <row r="510">
      <c r="A510" s="5" t="inlineStr">
        <is>
          <t>single_kg3_010</t>
        </is>
      </c>
      <c r="B510" s="5" t="n">
        <v>1</v>
      </c>
      <c r="C510" s="5" t="inlineStr">
        <is>
          <t>single_kg3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single_kg3</t>
        </is>
      </c>
      <c r="H510" s="5" t="inlineStr">
        <is>
          <t>single_kg3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11.45</v>
      </c>
    </row>
    <row r="511">
      <c r="A511" s="5" t="inlineStr">
        <is>
          <t>single_kg3_010</t>
        </is>
      </c>
      <c r="B511" s="5" t="n">
        <v>1</v>
      </c>
      <c r="C511" s="5" t="inlineStr">
        <is>
          <t>single_kg3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single_kg3</t>
        </is>
      </c>
      <c r="H511" s="5" t="inlineStr">
        <is>
          <t>single_kg3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11.68</v>
      </c>
    </row>
    <row r="512">
      <c r="A512" s="5" t="inlineStr">
        <is>
          <t>single_kg3_011</t>
        </is>
      </c>
      <c r="B512" s="5" t="n">
        <v>1</v>
      </c>
      <c r="C512" s="5" t="inlineStr">
        <is>
          <t>single_kg3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single_kg3</t>
        </is>
      </c>
      <c r="H512" s="5" t="inlineStr">
        <is>
          <t>single_kg3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11.34</v>
      </c>
    </row>
    <row r="513">
      <c r="A513" s="5" t="inlineStr">
        <is>
          <t>single_kg3_011</t>
        </is>
      </c>
      <c r="B513" s="5" t="n">
        <v>1</v>
      </c>
      <c r="C513" s="5" t="inlineStr">
        <is>
          <t>single_kg3</t>
        </is>
      </c>
      <c r="D513" s="5" t="inlineStr">
        <is>
          <t>university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single_kg3</t>
        </is>
      </c>
      <c r="H513" s="5" t="inlineStr">
        <is>
          <t>single_kg3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10.07</v>
      </c>
    </row>
    <row r="514">
      <c r="A514" s="5" t="inlineStr">
        <is>
          <t>single_kg3_011</t>
        </is>
      </c>
      <c r="B514" s="5" t="n">
        <v>1</v>
      </c>
      <c r="C514" s="5" t="inlineStr">
        <is>
          <t>single_kg3</t>
        </is>
      </c>
      <c r="D514" s="5" t="inlineStr">
        <is>
          <t>university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single_kg3</t>
        </is>
      </c>
      <c r="H514" s="5" t="inlineStr">
        <is>
          <t>single_kg3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10.28</v>
      </c>
    </row>
    <row r="515">
      <c r="A515" s="5" t="inlineStr">
        <is>
          <t>single_kg3_011</t>
        </is>
      </c>
      <c r="B515" s="5" t="n">
        <v>1</v>
      </c>
      <c r="C515" s="5" t="inlineStr">
        <is>
          <t>single_kg3</t>
        </is>
      </c>
      <c r="D515" s="5" t="inlineStr">
        <is>
          <t>university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single_kg3</t>
        </is>
      </c>
      <c r="H515" s="5" t="inlineStr">
        <is>
          <t>single_kg3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9.710000000000001</v>
      </c>
    </row>
    <row r="516">
      <c r="A516" s="5" t="inlineStr">
        <is>
          <t>single_kg3_011</t>
        </is>
      </c>
      <c r="B516" s="5" t="n">
        <v>1</v>
      </c>
      <c r="C516" s="5" t="inlineStr">
        <is>
          <t>single_kg3</t>
        </is>
      </c>
      <c r="D516" s="5" t="inlineStr">
        <is>
          <t>university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single_kg3</t>
        </is>
      </c>
      <c r="H516" s="5" t="inlineStr">
        <is>
          <t>single_kg3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12.29</v>
      </c>
    </row>
    <row r="517">
      <c r="A517" s="5" t="inlineStr">
        <is>
          <t>single_kg3_011</t>
        </is>
      </c>
      <c r="B517" s="5" t="n">
        <v>1</v>
      </c>
      <c r="C517" s="5" t="inlineStr">
        <is>
          <t>single_kg3</t>
        </is>
      </c>
      <c r="D517" s="5" t="inlineStr">
        <is>
          <t>university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single_kg3</t>
        </is>
      </c>
      <c r="H517" s="5" t="inlineStr">
        <is>
          <t>single_kg3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11.78</v>
      </c>
    </row>
    <row r="518">
      <c r="A518" s="5" t="inlineStr">
        <is>
          <t>single_kg3_011</t>
        </is>
      </c>
      <c r="B518" s="5" t="n">
        <v>1</v>
      </c>
      <c r="C518" s="5" t="inlineStr">
        <is>
          <t>single_kg3</t>
        </is>
      </c>
      <c r="D518" s="5" t="inlineStr">
        <is>
          <t>university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single_kg3</t>
        </is>
      </c>
      <c r="H518" s="5" t="inlineStr">
        <is>
          <t>single_kg3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13.19</v>
      </c>
    </row>
    <row r="519">
      <c r="A519" s="5" t="inlineStr">
        <is>
          <t>single_kg3_011</t>
        </is>
      </c>
      <c r="B519" s="5" t="n">
        <v>1</v>
      </c>
      <c r="C519" s="5" t="inlineStr">
        <is>
          <t>single_kg3</t>
        </is>
      </c>
      <c r="D519" s="5" t="inlineStr">
        <is>
          <t>university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single_kg3</t>
        </is>
      </c>
      <c r="H519" s="5" t="inlineStr">
        <is>
          <t>single_kg3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12.37</v>
      </c>
    </row>
    <row r="520">
      <c r="A520" s="5" t="inlineStr">
        <is>
          <t>single_kg3_011</t>
        </is>
      </c>
      <c r="B520" s="5" t="n">
        <v>1</v>
      </c>
      <c r="C520" s="5" t="inlineStr">
        <is>
          <t>single_kg3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single_kg3</t>
        </is>
      </c>
      <c r="H520" s="5" t="inlineStr">
        <is>
          <t>single_kg3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13.13</v>
      </c>
    </row>
    <row r="521">
      <c r="A521" s="5" t="inlineStr">
        <is>
          <t>single_kg3_012</t>
        </is>
      </c>
      <c r="B521" s="5" t="n">
        <v>1</v>
      </c>
      <c r="C521" s="5" t="inlineStr">
        <is>
          <t>single_kg3</t>
        </is>
      </c>
      <c r="D521" s="5" t="inlineStr">
        <is>
          <t>university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single_kg3</t>
        </is>
      </c>
      <c r="H521" s="5" t="inlineStr">
        <is>
          <t>single_kg3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13.22</v>
      </c>
    </row>
    <row r="522">
      <c r="A522" s="5" t="inlineStr">
        <is>
          <t>single_kg3_012</t>
        </is>
      </c>
      <c r="B522" s="5" t="n">
        <v>1</v>
      </c>
      <c r="C522" s="5" t="inlineStr">
        <is>
          <t>single_kg3</t>
        </is>
      </c>
      <c r="D522" s="5" t="inlineStr">
        <is>
          <t>university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single_kg3</t>
        </is>
      </c>
      <c r="H522" s="5" t="inlineStr">
        <is>
          <t>single_kg3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11.8</v>
      </c>
    </row>
    <row r="523">
      <c r="A523" s="5" t="inlineStr">
        <is>
          <t>single_kg3_012</t>
        </is>
      </c>
      <c r="B523" s="5" t="n">
        <v>1</v>
      </c>
      <c r="C523" s="5" t="inlineStr">
        <is>
          <t>single_kg3</t>
        </is>
      </c>
      <c r="D523" s="5" t="inlineStr">
        <is>
          <t>university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single_kg3</t>
        </is>
      </c>
      <c r="H523" s="5" t="inlineStr">
        <is>
          <t>single_kg3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11.43</v>
      </c>
    </row>
    <row r="524">
      <c r="A524" s="5" t="inlineStr">
        <is>
          <t>single_kg3_012</t>
        </is>
      </c>
      <c r="B524" s="5" t="n">
        <v>1</v>
      </c>
      <c r="C524" s="5" t="inlineStr">
        <is>
          <t>single_kg3</t>
        </is>
      </c>
      <c r="D524" s="5" t="inlineStr">
        <is>
          <t>university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single_kg3</t>
        </is>
      </c>
      <c r="H524" s="5" t="inlineStr">
        <is>
          <t>single_kg3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13.92</v>
      </c>
    </row>
    <row r="525">
      <c r="A525" s="5" t="inlineStr">
        <is>
          <t>single_kg3_012</t>
        </is>
      </c>
      <c r="B525" s="5" t="n">
        <v>1</v>
      </c>
      <c r="C525" s="5" t="inlineStr">
        <is>
          <t>single_kg3</t>
        </is>
      </c>
      <c r="D525" s="5" t="inlineStr">
        <is>
          <t>university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single_kg3</t>
        </is>
      </c>
      <c r="H525" s="5" t="inlineStr">
        <is>
          <t>single_kg3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13.72</v>
      </c>
    </row>
    <row r="526">
      <c r="A526" s="5" t="inlineStr">
        <is>
          <t>single_kg3_012</t>
        </is>
      </c>
      <c r="B526" s="5" t="n">
        <v>1</v>
      </c>
      <c r="C526" s="5" t="inlineStr">
        <is>
          <t>single_kg3</t>
        </is>
      </c>
      <c r="D526" s="5" t="inlineStr">
        <is>
          <t>university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single_kg3</t>
        </is>
      </c>
      <c r="H526" s="5" t="inlineStr">
        <is>
          <t>single_kg3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14.29</v>
      </c>
    </row>
    <row r="527">
      <c r="A527" s="5" t="inlineStr">
        <is>
          <t>single_kg3_012</t>
        </is>
      </c>
      <c r="B527" s="5" t="n">
        <v>1</v>
      </c>
      <c r="C527" s="5" t="inlineStr">
        <is>
          <t>single_kg3</t>
        </is>
      </c>
      <c r="D527" s="5" t="inlineStr">
        <is>
          <t>university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single_kg3</t>
        </is>
      </c>
      <c r="H527" s="5" t="inlineStr">
        <is>
          <t>single_kg3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17.69</v>
      </c>
    </row>
    <row r="528">
      <c r="A528" s="5" t="inlineStr">
        <is>
          <t>single_kg3_012</t>
        </is>
      </c>
      <c r="B528" s="5" t="n">
        <v>1</v>
      </c>
      <c r="C528" s="5" t="inlineStr">
        <is>
          <t>single_kg3</t>
        </is>
      </c>
      <c r="D528" s="5" t="inlineStr">
        <is>
          <t>university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single_kg3</t>
        </is>
      </c>
      <c r="H528" s="5" t="inlineStr">
        <is>
          <t>single_kg3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13.02</v>
      </c>
    </row>
    <row r="529">
      <c r="A529" s="5" t="inlineStr">
        <is>
          <t>single_kg3_012</t>
        </is>
      </c>
      <c r="B529" s="5" t="n">
        <v>1</v>
      </c>
      <c r="C529" s="5" t="inlineStr">
        <is>
          <t>single_kg3</t>
        </is>
      </c>
      <c r="D529" s="5" t="inlineStr">
        <is>
          <t>university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single_kg3</t>
        </is>
      </c>
      <c r="H529" s="5" t="inlineStr">
        <is>
          <t>single_kg3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13.01</v>
      </c>
    </row>
    <row r="530">
      <c r="A530" s="5" t="inlineStr">
        <is>
          <t>single_kg3_013</t>
        </is>
      </c>
      <c r="B530" s="5" t="n">
        <v>1</v>
      </c>
      <c r="C530" s="5" t="inlineStr">
        <is>
          <t>single_kg3</t>
        </is>
      </c>
      <c r="D530" s="5" t="inlineStr">
        <is>
          <t>university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single_kg3</t>
        </is>
      </c>
      <c r="H530" s="5" t="inlineStr">
        <is>
          <t>single_kg3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10.97</v>
      </c>
    </row>
    <row r="531">
      <c r="A531" s="5" t="inlineStr">
        <is>
          <t>single_kg3_013</t>
        </is>
      </c>
      <c r="B531" s="5" t="n">
        <v>1</v>
      </c>
      <c r="C531" s="5" t="inlineStr">
        <is>
          <t>single_kg3</t>
        </is>
      </c>
      <c r="D531" s="5" t="inlineStr">
        <is>
          <t>university</t>
        </is>
      </c>
      <c r="E531" s="5" t="inlineStr">
        <is>
          <t>en</t>
        </is>
      </c>
      <c r="F531" s="5" t="inlineStr">
        <is>
          <t>few-shot</t>
        </is>
      </c>
      <c r="G531" s="5" t="inlineStr">
        <is>
          <t>single_kg3</t>
        </is>
      </c>
      <c r="H531" s="5" t="inlineStr">
        <is>
          <t>single_kg3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9.77</v>
      </c>
    </row>
    <row r="532">
      <c r="A532" s="5" t="inlineStr">
        <is>
          <t>single_kg3_013</t>
        </is>
      </c>
      <c r="B532" s="5" t="n">
        <v>1</v>
      </c>
      <c r="C532" s="5" t="inlineStr">
        <is>
          <t>single_kg3</t>
        </is>
      </c>
      <c r="D532" s="5" t="inlineStr">
        <is>
          <t>university</t>
        </is>
      </c>
      <c r="E532" s="5" t="inlineStr">
        <is>
          <t>en</t>
        </is>
      </c>
      <c r="F532" s="5" t="inlineStr">
        <is>
          <t>cot</t>
        </is>
      </c>
      <c r="G532" s="5" t="inlineStr">
        <is>
          <t>single_kg3</t>
        </is>
      </c>
      <c r="H532" s="5" t="inlineStr">
        <is>
          <t>single_kg3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10.45</v>
      </c>
    </row>
    <row r="533">
      <c r="A533" s="5" t="inlineStr">
        <is>
          <t>single_kg3_013</t>
        </is>
      </c>
      <c r="B533" s="5" t="n">
        <v>1</v>
      </c>
      <c r="C533" s="5" t="inlineStr">
        <is>
          <t>single_kg3</t>
        </is>
      </c>
      <c r="D533" s="5" t="inlineStr">
        <is>
          <t>university</t>
        </is>
      </c>
      <c r="E533" s="5" t="inlineStr">
        <is>
          <t>fr</t>
        </is>
      </c>
      <c r="F533" s="5" t="inlineStr">
        <is>
          <t>zero-shot</t>
        </is>
      </c>
      <c r="G533" s="5" t="inlineStr">
        <is>
          <t>single_kg3</t>
        </is>
      </c>
      <c r="H533" s="5" t="inlineStr">
        <is>
          <t>single_kg3</t>
        </is>
      </c>
      <c r="I533" s="5" t="b">
        <v>1</v>
      </c>
      <c r="J533" s="5" t="b">
        <v>1</v>
      </c>
      <c r="K533" s="5" t="inlineStr">
        <is>
          <t>no_results</t>
        </is>
      </c>
      <c r="L533" s="5" t="n"/>
      <c r="M533" s="5" t="n">
        <v>0</v>
      </c>
      <c r="N533" s="5" t="n">
        <v>0</v>
      </c>
      <c r="O533" s="5" t="n">
        <v>11.65</v>
      </c>
    </row>
    <row r="534">
      <c r="A534" s="5" t="inlineStr">
        <is>
          <t>single_kg3_013</t>
        </is>
      </c>
      <c r="B534" s="5" t="n">
        <v>1</v>
      </c>
      <c r="C534" s="5" t="inlineStr">
        <is>
          <t>single_kg3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few-shot</t>
        </is>
      </c>
      <c r="G534" s="5" t="inlineStr">
        <is>
          <t>single_kg3</t>
        </is>
      </c>
      <c r="H534" s="5" t="inlineStr">
        <is>
          <t>single_kg3</t>
        </is>
      </c>
      <c r="I534" s="5" t="b">
        <v>1</v>
      </c>
      <c r="J534" s="5" t="b">
        <v>1</v>
      </c>
      <c r="K534" s="5" t="inlineStr">
        <is>
          <t>no_results</t>
        </is>
      </c>
      <c r="L534" s="5" t="n"/>
      <c r="M534" s="5" t="n">
        <v>0</v>
      </c>
      <c r="N534" s="5" t="n">
        <v>0</v>
      </c>
      <c r="O534" s="5" t="n">
        <v>11.18</v>
      </c>
    </row>
    <row r="535">
      <c r="A535" s="5" t="inlineStr">
        <is>
          <t>single_kg3_013</t>
        </is>
      </c>
      <c r="B535" s="5" t="n">
        <v>1</v>
      </c>
      <c r="C535" s="5" t="inlineStr">
        <is>
          <t>single_kg3</t>
        </is>
      </c>
      <c r="D535" s="5" t="inlineStr">
        <is>
          <t>university</t>
        </is>
      </c>
      <c r="E535" s="5" t="inlineStr">
        <is>
          <t>fr</t>
        </is>
      </c>
      <c r="F535" s="5" t="inlineStr">
        <is>
          <t>cot</t>
        </is>
      </c>
      <c r="G535" s="5" t="inlineStr">
        <is>
          <t>single_kg3</t>
        </is>
      </c>
      <c r="H535" s="5" t="inlineStr">
        <is>
          <t>single_kg3</t>
        </is>
      </c>
      <c r="I535" s="5" t="b">
        <v>1</v>
      </c>
      <c r="J535" s="5" t="b">
        <v>1</v>
      </c>
      <c r="K535" s="5" t="inlineStr">
        <is>
          <t>no_results</t>
        </is>
      </c>
      <c r="L535" s="5" t="n"/>
      <c r="M535" s="5" t="n">
        <v>0</v>
      </c>
      <c r="N535" s="5" t="n">
        <v>0</v>
      </c>
      <c r="O535" s="5" t="n">
        <v>12.79</v>
      </c>
    </row>
    <row r="536">
      <c r="A536" s="5" t="inlineStr">
        <is>
          <t>single_kg3_013</t>
        </is>
      </c>
      <c r="B536" s="5" t="n">
        <v>1</v>
      </c>
      <c r="C536" s="5" t="inlineStr">
        <is>
          <t>single_kg3</t>
        </is>
      </c>
      <c r="D536" s="5" t="inlineStr">
        <is>
          <t>university</t>
        </is>
      </c>
      <c r="E536" s="5" t="inlineStr">
        <is>
          <t>ar</t>
        </is>
      </c>
      <c r="F536" s="5" t="inlineStr">
        <is>
          <t>zero-shot</t>
        </is>
      </c>
      <c r="G536" s="5" t="inlineStr">
        <is>
          <t>single_kg3</t>
        </is>
      </c>
      <c r="H536" s="5" t="inlineStr">
        <is>
          <t>single_kg3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13.19</v>
      </c>
    </row>
    <row r="537">
      <c r="A537" s="5" t="inlineStr">
        <is>
          <t>single_kg3_013</t>
        </is>
      </c>
      <c r="B537" s="5" t="n">
        <v>1</v>
      </c>
      <c r="C537" s="5" t="inlineStr">
        <is>
          <t>single_kg3</t>
        </is>
      </c>
      <c r="D537" s="5" t="inlineStr">
        <is>
          <t>university</t>
        </is>
      </c>
      <c r="E537" s="5" t="inlineStr">
        <is>
          <t>ar</t>
        </is>
      </c>
      <c r="F537" s="5" t="inlineStr">
        <is>
          <t>few-shot</t>
        </is>
      </c>
      <c r="G537" s="5" t="inlineStr">
        <is>
          <t>single_kg3</t>
        </is>
      </c>
      <c r="H537" s="5" t="inlineStr">
        <is>
          <t>single_kg3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12.1</v>
      </c>
    </row>
    <row r="538">
      <c r="A538" s="5" t="inlineStr">
        <is>
          <t>single_kg3_013</t>
        </is>
      </c>
      <c r="B538" s="5" t="n">
        <v>1</v>
      </c>
      <c r="C538" s="5" t="inlineStr">
        <is>
          <t>single_kg3</t>
        </is>
      </c>
      <c r="D538" s="5" t="inlineStr">
        <is>
          <t>university</t>
        </is>
      </c>
      <c r="E538" s="5" t="inlineStr">
        <is>
          <t>ar</t>
        </is>
      </c>
      <c r="F538" s="5" t="inlineStr">
        <is>
          <t>cot</t>
        </is>
      </c>
      <c r="G538" s="5" t="inlineStr">
        <is>
          <t>single_kg3</t>
        </is>
      </c>
      <c r="H538" s="5" t="inlineStr">
        <is>
          <t>single_kg3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11.65</v>
      </c>
    </row>
    <row r="539">
      <c r="A539" s="5" t="inlineStr">
        <is>
          <t>ranking_kg1_002</t>
        </is>
      </c>
      <c r="B539" s="5" t="n">
        <v>2</v>
      </c>
      <c r="C539" s="5" t="inlineStr">
        <is>
          <t>ranking_kg1</t>
        </is>
      </c>
      <c r="D539" s="5" t="inlineStr">
        <is>
          <t>flights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ranking_kg1</t>
        </is>
      </c>
      <c r="H539" s="5" t="inlineStr">
        <is>
          <t>template</t>
        </is>
      </c>
      <c r="I539" s="5" t="b">
        <v>0</v>
      </c>
      <c r="J539" s="5" t="b">
        <v>1</v>
      </c>
      <c r="K539" s="5" t="inlineStr">
        <is>
          <t>success</t>
        </is>
      </c>
      <c r="L539" s="5" t="n"/>
      <c r="M539" s="5" t="n">
        <v>0</v>
      </c>
      <c r="N539" s="5" t="n">
        <v>0.093</v>
      </c>
      <c r="O539" s="5" t="n">
        <v>10.18</v>
      </c>
    </row>
    <row r="540">
      <c r="A540" s="5" t="inlineStr">
        <is>
          <t>ranking_kg1_002</t>
        </is>
      </c>
      <c r="B540" s="5" t="n">
        <v>2</v>
      </c>
      <c r="C540" s="5" t="inlineStr">
        <is>
          <t>ranking_kg1</t>
        </is>
      </c>
      <c r="D540" s="5" t="inlineStr">
        <is>
          <t>flights</t>
        </is>
      </c>
      <c r="E540" s="5" t="inlineStr">
        <is>
          <t>fr</t>
        </is>
      </c>
      <c r="F540" s="5" t="inlineStr">
        <is>
          <t>zero-shot</t>
        </is>
      </c>
      <c r="G540" s="5" t="inlineStr">
        <is>
          <t>ranking_kg1</t>
        </is>
      </c>
      <c r="H540" s="5" t="inlineStr">
        <is>
          <t>template</t>
        </is>
      </c>
      <c r="I540" s="5" t="b">
        <v>0</v>
      </c>
      <c r="J540" s="5" t="b">
        <v>1</v>
      </c>
      <c r="K540" s="5" t="inlineStr">
        <is>
          <t>success</t>
        </is>
      </c>
      <c r="L540" s="5" t="n"/>
      <c r="M540" s="5" t="n">
        <v>0</v>
      </c>
      <c r="N540" s="5" t="n">
        <v>0.1099</v>
      </c>
      <c r="O540" s="5" t="n">
        <v>12.32</v>
      </c>
    </row>
    <row r="541">
      <c r="A541" s="5" t="inlineStr">
        <is>
          <t>ranking_kg1_002</t>
        </is>
      </c>
      <c r="B541" s="5" t="n">
        <v>2</v>
      </c>
      <c r="C541" s="5" t="inlineStr">
        <is>
          <t>ranking_kg1</t>
        </is>
      </c>
      <c r="D541" s="5" t="inlineStr">
        <is>
          <t>flights</t>
        </is>
      </c>
      <c r="E541" s="5" t="inlineStr">
        <is>
          <t>ar</t>
        </is>
      </c>
      <c r="F541" s="5" t="inlineStr">
        <is>
          <t>zero-shot</t>
        </is>
      </c>
      <c r="G541" s="5" t="inlineStr">
        <is>
          <t>ranking_kg1</t>
        </is>
      </c>
      <c r="H541" s="5" t="inlineStr">
        <is>
          <t>template</t>
        </is>
      </c>
      <c r="I541" s="5" t="b">
        <v>0</v>
      </c>
      <c r="J541" s="5" t="b">
        <v>1</v>
      </c>
      <c r="K541" s="5" t="inlineStr">
        <is>
          <t>success</t>
        </is>
      </c>
      <c r="L541" s="5" t="n"/>
      <c r="M541" s="5" t="n">
        <v>0</v>
      </c>
      <c r="N541" s="5" t="n">
        <v>0.093</v>
      </c>
      <c r="O541" s="5" t="n">
        <v>10.61</v>
      </c>
    </row>
    <row r="542">
      <c r="A542" s="5" t="inlineStr">
        <is>
          <t>count_kg2_003</t>
        </is>
      </c>
      <c r="B542" s="5" t="n">
        <v>2</v>
      </c>
      <c r="C542" s="5" t="inlineStr">
        <is>
          <t>count_kg2</t>
        </is>
      </c>
      <c r="D542" s="5" t="inlineStr">
        <is>
          <t>airports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count_kg2</t>
        </is>
      </c>
      <c r="H542" s="5" t="inlineStr">
        <is>
          <t>template</t>
        </is>
      </c>
      <c r="I542" s="5" t="b">
        <v>0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13.41</v>
      </c>
    </row>
    <row r="543">
      <c r="A543" s="5" t="inlineStr">
        <is>
          <t>count_kg2_003</t>
        </is>
      </c>
      <c r="B543" s="5" t="n">
        <v>2</v>
      </c>
      <c r="C543" s="5" t="inlineStr">
        <is>
          <t>count_kg2</t>
        </is>
      </c>
      <c r="D543" s="5" t="inlineStr">
        <is>
          <t>airports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count_kg2</t>
        </is>
      </c>
      <c r="H543" s="5" t="inlineStr">
        <is>
          <t>template</t>
        </is>
      </c>
      <c r="I543" s="5" t="b">
        <v>0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12.99</v>
      </c>
    </row>
    <row r="544">
      <c r="A544" s="5" t="inlineStr">
        <is>
          <t>count_kg2_003</t>
        </is>
      </c>
      <c r="B544" s="5" t="n">
        <v>2</v>
      </c>
      <c r="C544" s="5" t="inlineStr">
        <is>
          <t>count_kg2</t>
        </is>
      </c>
      <c r="D544" s="5" t="inlineStr">
        <is>
          <t>airports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count_kg2</t>
        </is>
      </c>
      <c r="H544" s="5" t="inlineStr">
        <is>
          <t>template</t>
        </is>
      </c>
      <c r="I544" s="5" t="b">
        <v>0</v>
      </c>
      <c r="J544" s="5" t="b">
        <v>1</v>
      </c>
      <c r="K544" s="5" t="inlineStr">
        <is>
          <t>success</t>
        </is>
      </c>
      <c r="L544" s="5" t="n"/>
      <c r="M544" s="5" t="n">
        <v>1</v>
      </c>
      <c r="N544" s="5" t="n">
        <v>1</v>
      </c>
      <c r="O544" s="5" t="n">
        <v>14.64</v>
      </c>
    </row>
    <row r="545">
      <c r="A545" s="5" t="inlineStr">
        <is>
          <t>compare_two_flights_002</t>
        </is>
      </c>
      <c r="B545" s="5" t="n">
        <v>2</v>
      </c>
      <c r="C545" s="5" t="inlineStr">
        <is>
          <t>compare_two_flights</t>
        </is>
      </c>
      <c r="D545" s="5" t="inlineStr">
        <is>
          <t>flights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compare_two_flights</t>
        </is>
      </c>
      <c r="H545" s="5" t="inlineStr">
        <is>
          <t>template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0</v>
      </c>
      <c r="N545" s="5" t="n">
        <v>0.2222</v>
      </c>
      <c r="O545" s="5" t="n">
        <v>0.02</v>
      </c>
    </row>
    <row r="546">
      <c r="A546" s="5" t="inlineStr">
        <is>
          <t>compare_two_flights_002</t>
        </is>
      </c>
      <c r="B546" s="5" t="n">
        <v>2</v>
      </c>
      <c r="C546" s="5" t="inlineStr">
        <is>
          <t>compare_two_flights</t>
        </is>
      </c>
      <c r="D546" s="5" t="inlineStr">
        <is>
          <t>flights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compare_two_flights</t>
        </is>
      </c>
      <c r="H546" s="5" t="inlineStr">
        <is>
          <t>template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0</v>
      </c>
      <c r="N546" s="5" t="n">
        <v>0.2222</v>
      </c>
      <c r="O546" s="5" t="n">
        <v>0.01</v>
      </c>
    </row>
    <row r="547">
      <c r="A547" s="5" t="inlineStr">
        <is>
          <t>compare_two_flights_002</t>
        </is>
      </c>
      <c r="B547" s="5" t="n">
        <v>2</v>
      </c>
      <c r="C547" s="5" t="inlineStr">
        <is>
          <t>compare_two_flights</t>
        </is>
      </c>
      <c r="D547" s="5" t="inlineStr">
        <is>
          <t>flights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compare_two_flights</t>
        </is>
      </c>
      <c r="H547" s="5" t="inlineStr">
        <is>
          <t>open_kg</t>
        </is>
      </c>
      <c r="I547" s="5" t="b">
        <v>0</v>
      </c>
      <c r="J547" s="5" t="b">
        <v>0</v>
      </c>
      <c r="K547" s="5" t="inlineStr">
        <is>
          <t>generation_failure</t>
        </is>
      </c>
      <c r="L547" s="5" t="n"/>
      <c r="M547" s="5" t="n">
        <v>0</v>
      </c>
      <c r="N547" s="5" t="n">
        <v>0</v>
      </c>
      <c r="O547" s="5" t="n">
        <v>55.53</v>
      </c>
    </row>
    <row r="548">
      <c r="A548" s="5" t="inlineStr">
        <is>
          <t>count_kg2_002</t>
        </is>
      </c>
      <c r="B548" s="5" t="n">
        <v>2</v>
      </c>
      <c r="C548" s="5" t="inlineStr">
        <is>
          <t>count_kg2</t>
        </is>
      </c>
      <c r="D548" s="5" t="inlineStr">
        <is>
          <t>airports</t>
        </is>
      </c>
      <c r="E548" s="5" t="inlineStr">
        <is>
          <t>en</t>
        </is>
      </c>
      <c r="F548" s="5" t="inlineStr">
        <is>
          <t>zero-shot</t>
        </is>
      </c>
      <c r="G548" s="5" t="inlineStr">
        <is>
          <t>count_kg2</t>
        </is>
      </c>
      <c r="H548" s="5" t="inlineStr">
        <is>
          <t>template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0</v>
      </c>
      <c r="N548" s="5" t="n">
        <v>0</v>
      </c>
      <c r="O548" s="5" t="n">
        <v>15.08</v>
      </c>
    </row>
    <row r="549">
      <c r="A549" s="5" t="inlineStr">
        <is>
          <t>count_kg2_002</t>
        </is>
      </c>
      <c r="B549" s="5" t="n">
        <v>2</v>
      </c>
      <c r="C549" s="5" t="inlineStr">
        <is>
          <t>count_kg2</t>
        </is>
      </c>
      <c r="D549" s="5" t="inlineStr">
        <is>
          <t>airports</t>
        </is>
      </c>
      <c r="E549" s="5" t="inlineStr">
        <is>
          <t>fr</t>
        </is>
      </c>
      <c r="F549" s="5" t="inlineStr">
        <is>
          <t>zero-shot</t>
        </is>
      </c>
      <c r="G549" s="5" t="inlineStr">
        <is>
          <t>count_kg2</t>
        </is>
      </c>
      <c r="H549" s="5" t="inlineStr">
        <is>
          <t>template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0</v>
      </c>
      <c r="N549" s="5" t="n">
        <v>0</v>
      </c>
      <c r="O549" s="5" t="n">
        <v>14.64</v>
      </c>
    </row>
    <row r="550">
      <c r="A550" s="5" t="inlineStr">
        <is>
          <t>count_kg2_002</t>
        </is>
      </c>
      <c r="B550" s="5" t="n">
        <v>2</v>
      </c>
      <c r="C550" s="5" t="inlineStr">
        <is>
          <t>count_kg2</t>
        </is>
      </c>
      <c r="D550" s="5" t="inlineStr">
        <is>
          <t>airports</t>
        </is>
      </c>
      <c r="E550" s="5" t="inlineStr">
        <is>
          <t>ar</t>
        </is>
      </c>
      <c r="F550" s="5" t="inlineStr">
        <is>
          <t>zero-shot</t>
        </is>
      </c>
      <c r="G550" s="5" t="inlineStr">
        <is>
          <t>count_kg2</t>
        </is>
      </c>
      <c r="H550" s="5" t="inlineStr">
        <is>
          <t>template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0</v>
      </c>
      <c r="N550" s="5" t="n">
        <v>0</v>
      </c>
      <c r="O550" s="5" t="n">
        <v>13.38</v>
      </c>
    </row>
    <row r="551">
      <c r="A551" s="5" t="inlineStr">
        <is>
          <t>filter_numeric_kg2_001</t>
        </is>
      </c>
      <c r="B551" s="5" t="n">
        <v>2</v>
      </c>
      <c r="C551" s="5" t="inlineStr">
        <is>
          <t>filter_numeric_kg2</t>
        </is>
      </c>
      <c r="D551" s="5" t="inlineStr">
        <is>
          <t>airports</t>
        </is>
      </c>
      <c r="E551" s="5" t="inlineStr">
        <is>
          <t>en</t>
        </is>
      </c>
      <c r="F551" s="5" t="inlineStr">
        <is>
          <t>zero-shot</t>
        </is>
      </c>
      <c r="G551" s="5" t="inlineStr">
        <is>
          <t>template</t>
        </is>
      </c>
      <c r="H551" s="5" t="inlineStr">
        <is>
          <t>template</t>
        </is>
      </c>
      <c r="I551" s="5" t="b">
        <v>1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17.19</v>
      </c>
    </row>
    <row r="552">
      <c r="A552" s="5" t="inlineStr">
        <is>
          <t>filter_numeric_kg2_001</t>
        </is>
      </c>
      <c r="B552" s="5" t="n">
        <v>2</v>
      </c>
      <c r="C552" s="5" t="inlineStr">
        <is>
          <t>filter_numeric_kg2</t>
        </is>
      </c>
      <c r="D552" s="5" t="inlineStr">
        <is>
          <t>airports</t>
        </is>
      </c>
      <c r="E552" s="5" t="inlineStr">
        <is>
          <t>fr</t>
        </is>
      </c>
      <c r="F552" s="5" t="inlineStr">
        <is>
          <t>zero-shot</t>
        </is>
      </c>
      <c r="G552" s="5" t="inlineStr">
        <is>
          <t>template</t>
        </is>
      </c>
      <c r="H552" s="5" t="inlineStr">
        <is>
          <t>template</t>
        </is>
      </c>
      <c r="I552" s="5" t="b">
        <v>1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13.43</v>
      </c>
    </row>
    <row r="553">
      <c r="A553" s="5" t="inlineStr">
        <is>
          <t>filter_numeric_kg2_001</t>
        </is>
      </c>
      <c r="B553" s="5" t="n">
        <v>2</v>
      </c>
      <c r="C553" s="5" t="inlineStr">
        <is>
          <t>filter_numeric_kg2</t>
        </is>
      </c>
      <c r="D553" s="5" t="inlineStr">
        <is>
          <t>airports</t>
        </is>
      </c>
      <c r="E553" s="5" t="inlineStr">
        <is>
          <t>ar</t>
        </is>
      </c>
      <c r="F553" s="5" t="inlineStr">
        <is>
          <t>zero-shot</t>
        </is>
      </c>
      <c r="G553" s="5" t="inlineStr">
        <is>
          <t>template</t>
        </is>
      </c>
      <c r="H553" s="5" t="inlineStr">
        <is>
          <t>template</t>
        </is>
      </c>
      <c r="I553" s="5" t="b">
        <v>1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14.81</v>
      </c>
    </row>
    <row r="554">
      <c r="A554" s="5" t="inlineStr">
        <is>
          <t>filter_numeric_kg2_002</t>
        </is>
      </c>
      <c r="B554" s="5" t="n">
        <v>2</v>
      </c>
      <c r="C554" s="5" t="inlineStr">
        <is>
          <t>filter_numeric_kg2</t>
        </is>
      </c>
      <c r="D554" s="5" t="inlineStr">
        <is>
          <t>airports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template</t>
        </is>
      </c>
      <c r="H554" s="5" t="inlineStr">
        <is>
          <t>template</t>
        </is>
      </c>
      <c r="I554" s="5" t="b">
        <v>1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0.9772999999999999</v>
      </c>
      <c r="O554" s="5" t="n">
        <v>11.52</v>
      </c>
    </row>
    <row r="555">
      <c r="A555" s="5" t="inlineStr">
        <is>
          <t>filter_numeric_kg2_002</t>
        </is>
      </c>
      <c r="B555" s="5" t="n">
        <v>2</v>
      </c>
      <c r="C555" s="5" t="inlineStr">
        <is>
          <t>filter_numeric_kg2</t>
        </is>
      </c>
      <c r="D555" s="5" t="inlineStr">
        <is>
          <t>airports</t>
        </is>
      </c>
      <c r="E555" s="5" t="inlineStr">
        <is>
          <t>fr</t>
        </is>
      </c>
      <c r="F555" s="5" t="inlineStr">
        <is>
          <t>zero-shot</t>
        </is>
      </c>
      <c r="G555" s="5" t="inlineStr">
        <is>
          <t>template</t>
        </is>
      </c>
      <c r="H555" s="5" t="inlineStr">
        <is>
          <t>template</t>
        </is>
      </c>
      <c r="I555" s="5" t="b">
        <v>1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0.9772999999999999</v>
      </c>
      <c r="O555" s="5" t="n">
        <v>10.61</v>
      </c>
    </row>
    <row r="556">
      <c r="A556" s="5" t="inlineStr">
        <is>
          <t>filter_numeric_kg2_002</t>
        </is>
      </c>
      <c r="B556" s="5" t="n">
        <v>2</v>
      </c>
      <c r="C556" s="5" t="inlineStr">
        <is>
          <t>filter_numeric_kg2</t>
        </is>
      </c>
      <c r="D556" s="5" t="inlineStr">
        <is>
          <t>airports</t>
        </is>
      </c>
      <c r="E556" s="5" t="inlineStr">
        <is>
          <t>ar</t>
        </is>
      </c>
      <c r="F556" s="5" t="inlineStr">
        <is>
          <t>zero-shot</t>
        </is>
      </c>
      <c r="G556" s="5" t="inlineStr">
        <is>
          <t>template</t>
        </is>
      </c>
      <c r="H556" s="5" t="inlineStr">
        <is>
          <t>template</t>
        </is>
      </c>
      <c r="I556" s="5" t="b">
        <v>1</v>
      </c>
      <c r="J556" s="5" t="b">
        <v>1</v>
      </c>
      <c r="K556" s="5" t="inlineStr">
        <is>
          <t>success</t>
        </is>
      </c>
      <c r="L556" s="5" t="n"/>
      <c r="M556" s="5" t="n">
        <v>0</v>
      </c>
      <c r="N556" s="5" t="n">
        <v>0.9772999999999999</v>
      </c>
      <c r="O556" s="5" t="n">
        <v>13.07</v>
      </c>
    </row>
    <row r="557">
      <c r="A557" s="5" t="inlineStr">
        <is>
          <t>filter_numeric_kg2_003</t>
        </is>
      </c>
      <c r="B557" s="5" t="n">
        <v>2</v>
      </c>
      <c r="C557" s="5" t="inlineStr">
        <is>
          <t>filter_numeric_kg2</t>
        </is>
      </c>
      <c r="D557" s="5" t="inlineStr">
        <is>
          <t>airports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template</t>
        </is>
      </c>
      <c r="H557" s="5" t="inlineStr">
        <is>
          <t>template</t>
        </is>
      </c>
      <c r="I557" s="5" t="b">
        <v>1</v>
      </c>
      <c r="J557" s="5" t="b">
        <v>1</v>
      </c>
      <c r="K557" s="5" t="inlineStr">
        <is>
          <t>success</t>
        </is>
      </c>
      <c r="L557" s="5" t="n"/>
      <c r="M557" s="5" t="n">
        <v>1</v>
      </c>
      <c r="N557" s="5" t="n">
        <v>1</v>
      </c>
      <c r="O557" s="5" t="n">
        <v>14.46</v>
      </c>
    </row>
    <row r="558">
      <c r="A558" s="5" t="inlineStr">
        <is>
          <t>filter_numeric_kg2_003</t>
        </is>
      </c>
      <c r="B558" s="5" t="n">
        <v>2</v>
      </c>
      <c r="C558" s="5" t="inlineStr">
        <is>
          <t>filter_numeric_kg2</t>
        </is>
      </c>
      <c r="D558" s="5" t="inlineStr">
        <is>
          <t>airports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template</t>
        </is>
      </c>
      <c r="H558" s="5" t="inlineStr">
        <is>
          <t>template</t>
        </is>
      </c>
      <c r="I558" s="5" t="b">
        <v>1</v>
      </c>
      <c r="J558" s="5" t="b">
        <v>1</v>
      </c>
      <c r="K558" s="5" t="inlineStr">
        <is>
          <t>success</t>
        </is>
      </c>
      <c r="L558" s="5" t="n"/>
      <c r="M558" s="5" t="n">
        <v>1</v>
      </c>
      <c r="N558" s="5" t="n">
        <v>1</v>
      </c>
      <c r="O558" s="5" t="n">
        <v>13.74</v>
      </c>
    </row>
    <row r="559">
      <c r="A559" s="5" t="inlineStr">
        <is>
          <t>filter_numeric_kg2_003</t>
        </is>
      </c>
      <c r="B559" s="5" t="n">
        <v>2</v>
      </c>
      <c r="C559" s="5" t="inlineStr">
        <is>
          <t>filter_numeric_kg2</t>
        </is>
      </c>
      <c r="D559" s="5" t="inlineStr">
        <is>
          <t>airports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template</t>
        </is>
      </c>
      <c r="H559" s="5" t="inlineStr">
        <is>
          <t>template</t>
        </is>
      </c>
      <c r="I559" s="5" t="b">
        <v>1</v>
      </c>
      <c r="J559" s="5" t="b">
        <v>1</v>
      </c>
      <c r="K559" s="5" t="inlineStr">
        <is>
          <t>success</t>
        </is>
      </c>
      <c r="L559" s="5" t="n"/>
      <c r="M559" s="5" t="n">
        <v>1</v>
      </c>
      <c r="N559" s="5" t="n">
        <v>1</v>
      </c>
      <c r="O559" s="5" t="n">
        <v>14.59</v>
      </c>
    </row>
    <row r="560">
      <c r="A560" s="5" t="inlineStr">
        <is>
          <t>ranking_kg3_002</t>
        </is>
      </c>
      <c r="B560" s="5" t="n">
        <v>2</v>
      </c>
      <c r="C560" s="5" t="inlineStr">
        <is>
          <t>ranking_kg3</t>
        </is>
      </c>
      <c r="D560" s="5" t="inlineStr">
        <is>
          <t>university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ranking_kg3</t>
        </is>
      </c>
      <c r="H560" s="5" t="inlineStr">
        <is>
          <t>template</t>
        </is>
      </c>
      <c r="I560" s="5" t="b">
        <v>0</v>
      </c>
      <c r="J560" s="5" t="b">
        <v>0</v>
      </c>
      <c r="K560" s="5" t="inlineStr">
        <is>
          <t>sparql_build_failure</t>
        </is>
      </c>
      <c r="L560" s="5" t="inlineStr">
        <is>
          <t>params={'property': 'memberOf', 'function': 'COUNT', 'group_by': 'department'}</t>
        </is>
      </c>
      <c r="M560" s="5" t="n">
        <v>0</v>
      </c>
      <c r="N560" s="5" t="n">
        <v>0</v>
      </c>
      <c r="O560" s="5" t="n">
        <v>10.76</v>
      </c>
    </row>
    <row r="561">
      <c r="A561" s="5" t="inlineStr">
        <is>
          <t>ranking_kg3_002</t>
        </is>
      </c>
      <c r="B561" s="5" t="n">
        <v>2</v>
      </c>
      <c r="C561" s="5" t="inlineStr">
        <is>
          <t>ranking_kg3</t>
        </is>
      </c>
      <c r="D561" s="5" t="inlineStr">
        <is>
          <t>university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ranking_kg3</t>
        </is>
      </c>
      <c r="H561" s="5" t="inlineStr">
        <is>
          <t>template</t>
        </is>
      </c>
      <c r="I561" s="5" t="b">
        <v>0</v>
      </c>
      <c r="J561" s="5" t="b">
        <v>0</v>
      </c>
      <c r="K561" s="5" t="inlineStr">
        <is>
          <t>sparql_build_failure</t>
        </is>
      </c>
      <c r="L561" s="5" t="inlineStr">
        <is>
          <t>params={'property': 'memberOf', 'function': 'COUNT', 'group_by': 'department'}</t>
        </is>
      </c>
      <c r="M561" s="5" t="n">
        <v>0</v>
      </c>
      <c r="N561" s="5" t="n">
        <v>0</v>
      </c>
      <c r="O561" s="5" t="n">
        <v>11.22</v>
      </c>
    </row>
    <row r="562">
      <c r="A562" s="5" t="inlineStr">
        <is>
          <t>ranking_kg3_002</t>
        </is>
      </c>
      <c r="B562" s="5" t="n">
        <v>2</v>
      </c>
      <c r="C562" s="5" t="inlineStr">
        <is>
          <t>ranking_kg3</t>
        </is>
      </c>
      <c r="D562" s="5" t="inlineStr">
        <is>
          <t>university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ranking_kg3</t>
        </is>
      </c>
      <c r="H562" s="5" t="inlineStr">
        <is>
          <t>template</t>
        </is>
      </c>
      <c r="I562" s="5" t="b">
        <v>1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15.38</v>
      </c>
    </row>
    <row r="563">
      <c r="A563" s="5" t="inlineStr">
        <is>
          <t>compare_two_departments_002</t>
        </is>
      </c>
      <c r="B563" s="5" t="n">
        <v>2</v>
      </c>
      <c r="C563" s="5" t="inlineStr">
        <is>
          <t>compare_two_departments</t>
        </is>
      </c>
      <c r="D563" s="5" t="inlineStr">
        <is>
          <t>university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compare_two_departments</t>
        </is>
      </c>
      <c r="H563" s="5" t="inlineStr">
        <is>
          <t>template</t>
        </is>
      </c>
      <c r="I563" s="5" t="b">
        <v>1</v>
      </c>
      <c r="J563" s="5" t="b">
        <v>1</v>
      </c>
      <c r="K563" s="5" t="inlineStr">
        <is>
          <t>success</t>
        </is>
      </c>
      <c r="L563" s="5" t="n"/>
      <c r="M563" s="5" t="n">
        <v>1</v>
      </c>
      <c r="N563" s="5" t="n">
        <v>1</v>
      </c>
      <c r="O563" s="5" t="n">
        <v>4.05</v>
      </c>
    </row>
    <row r="564">
      <c r="A564" s="5" t="inlineStr">
        <is>
          <t>compare_two_departments_002</t>
        </is>
      </c>
      <c r="B564" s="5" t="n">
        <v>2</v>
      </c>
      <c r="C564" s="5" t="inlineStr">
        <is>
          <t>compare_two_departments</t>
        </is>
      </c>
      <c r="D564" s="5" t="inlineStr">
        <is>
          <t>university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compare_two_departments</t>
        </is>
      </c>
      <c r="H564" s="5" t="inlineStr">
        <is>
          <t>template</t>
        </is>
      </c>
      <c r="I564" s="5" t="b">
        <v>1</v>
      </c>
      <c r="J564" s="5" t="b">
        <v>1</v>
      </c>
      <c r="K564" s="5" t="inlineStr">
        <is>
          <t>success</t>
        </is>
      </c>
      <c r="L564" s="5" t="n"/>
      <c r="M564" s="5" t="n">
        <v>1</v>
      </c>
      <c r="N564" s="5" t="n">
        <v>1</v>
      </c>
      <c r="O564" s="5" t="n">
        <v>3.8</v>
      </c>
    </row>
    <row r="565">
      <c r="A565" s="5" t="inlineStr">
        <is>
          <t>compare_two_departments_002</t>
        </is>
      </c>
      <c r="B565" s="5" t="n">
        <v>2</v>
      </c>
      <c r="C565" s="5" t="inlineStr">
        <is>
          <t>compare_two_departments</t>
        </is>
      </c>
      <c r="D565" s="5" t="inlineStr">
        <is>
          <t>university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compare_two_departments</t>
        </is>
      </c>
      <c r="H565" s="5" t="inlineStr">
        <is>
          <t>template</t>
        </is>
      </c>
      <c r="I565" s="5" t="b">
        <v>1</v>
      </c>
      <c r="J565" s="5" t="b">
        <v>1</v>
      </c>
      <c r="K565" s="5" t="inlineStr">
        <is>
          <t>success</t>
        </is>
      </c>
      <c r="L565" s="5" t="n"/>
      <c r="M565" s="5" t="n">
        <v>1</v>
      </c>
      <c r="N565" s="5" t="n">
        <v>1</v>
      </c>
      <c r="O565" s="5" t="n">
        <v>2.77</v>
      </c>
    </row>
    <row r="566">
      <c r="A566" s="5" t="inlineStr">
        <is>
          <t>filter_string_kg3_002</t>
        </is>
      </c>
      <c r="B566" s="5" t="n">
        <v>2</v>
      </c>
      <c r="C566" s="5" t="inlineStr">
        <is>
          <t>filter_string_kg3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template</t>
        </is>
      </c>
      <c r="H566" s="5" t="inlineStr">
        <is>
          <t>template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1</v>
      </c>
      <c r="N566" s="5" t="n">
        <v>1</v>
      </c>
      <c r="O566" s="5" t="n">
        <v>32.83</v>
      </c>
    </row>
    <row r="567">
      <c r="A567" s="5" t="inlineStr">
        <is>
          <t>filter_string_kg3_002</t>
        </is>
      </c>
      <c r="B567" s="5" t="n">
        <v>2</v>
      </c>
      <c r="C567" s="5" t="inlineStr">
        <is>
          <t>filter_string_kg3</t>
        </is>
      </c>
      <c r="D567" s="5" t="inlineStr">
        <is>
          <t>university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template</t>
        </is>
      </c>
      <c r="H567" s="5" t="inlineStr">
        <is>
          <t>template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1</v>
      </c>
      <c r="N567" s="5" t="n">
        <v>1</v>
      </c>
      <c r="O567" s="5" t="n">
        <v>17.17</v>
      </c>
    </row>
    <row r="568">
      <c r="A568" s="5" t="inlineStr">
        <is>
          <t>filter_string_kg3_002</t>
        </is>
      </c>
      <c r="B568" s="5" t="n">
        <v>2</v>
      </c>
      <c r="C568" s="5" t="inlineStr">
        <is>
          <t>filter_string_kg3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template</t>
        </is>
      </c>
      <c r="H568" s="5" t="inlineStr">
        <is>
          <t>template</t>
        </is>
      </c>
      <c r="I568" s="5" t="b">
        <v>1</v>
      </c>
      <c r="J568" s="5" t="b">
        <v>1</v>
      </c>
      <c r="K568" s="5" t="inlineStr">
        <is>
          <t>success</t>
        </is>
      </c>
      <c r="L568" s="5" t="n"/>
      <c r="M568" s="5" t="n">
        <v>1</v>
      </c>
      <c r="N568" s="5" t="n">
        <v>1</v>
      </c>
      <c r="O568" s="5" t="n">
        <v>17.16</v>
      </c>
    </row>
    <row r="569">
      <c r="A569" s="5" t="inlineStr">
        <is>
          <t>property_ambiguity_004</t>
        </is>
      </c>
      <c r="B569" s="5" t="n">
        <v>3</v>
      </c>
      <c r="C569" s="5" t="inlineStr">
        <is>
          <t>property_ambiguity</t>
        </is>
      </c>
      <c r="D569" s="5" t="inlineStr">
        <is>
          <t>mixed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VARIES</t>
        </is>
      </c>
      <c r="H569" s="5" t="inlineStr">
        <is>
          <t>template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0</v>
      </c>
      <c r="N569" s="5" t="n">
        <v>0</v>
      </c>
      <c r="O569" s="5" t="n">
        <v>14.4</v>
      </c>
    </row>
    <row r="570">
      <c r="A570" s="5" t="inlineStr">
        <is>
          <t>property_ambiguity_004</t>
        </is>
      </c>
      <c r="B570" s="5" t="n">
        <v>3</v>
      </c>
      <c r="C570" s="5" t="inlineStr">
        <is>
          <t>property_ambiguity</t>
        </is>
      </c>
      <c r="D570" s="5" t="inlineStr">
        <is>
          <t>mixed</t>
        </is>
      </c>
      <c r="E570" s="5" t="inlineStr">
        <is>
          <t>fr</t>
        </is>
      </c>
      <c r="F570" s="5" t="inlineStr">
        <is>
          <t>zero-shot</t>
        </is>
      </c>
      <c r="G570" s="5" t="inlineStr">
        <is>
          <t>VARIES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22.76</v>
      </c>
    </row>
    <row r="571">
      <c r="A571" s="5" t="inlineStr">
        <is>
          <t>property_ambiguity_004</t>
        </is>
      </c>
      <c r="B571" s="5" t="n">
        <v>3</v>
      </c>
      <c r="C571" s="5" t="inlineStr">
        <is>
          <t>property_ambiguity</t>
        </is>
      </c>
      <c r="D571" s="5" t="inlineStr">
        <is>
          <t>mixed</t>
        </is>
      </c>
      <c r="E571" s="5" t="inlineStr">
        <is>
          <t>ar</t>
        </is>
      </c>
      <c r="F571" s="5" t="inlineStr">
        <is>
          <t>zero-shot</t>
        </is>
      </c>
      <c r="G571" s="5" t="inlineStr">
        <is>
          <t>VARIES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11.19</v>
      </c>
    </row>
    <row r="572">
      <c r="A572" s="5" t="inlineStr">
        <is>
          <t>cross_kg_013</t>
        </is>
      </c>
      <c r="B572" s="5" t="n">
        <v>1</v>
      </c>
      <c r="C572" s="5" t="inlineStr">
        <is>
          <t>cross_kg</t>
        </is>
      </c>
      <c r="D572" s="5" t="inlineStr">
        <is>
          <t>cross</t>
        </is>
      </c>
      <c r="E572" s="5" t="inlineStr">
        <is>
          <t>en</t>
        </is>
      </c>
      <c r="F572" s="5" t="inlineStr">
        <is>
          <t>zero-shot</t>
        </is>
      </c>
      <c r="G572" s="5" t="inlineStr">
        <is>
          <t>cross_kg</t>
        </is>
      </c>
      <c r="H572" s="5" t="inlineStr">
        <is>
          <t>cross_kg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18.77</v>
      </c>
    </row>
    <row r="573">
      <c r="A573" s="5" t="inlineStr">
        <is>
          <t>cross_kg_013</t>
        </is>
      </c>
      <c r="B573" s="5" t="n">
        <v>1</v>
      </c>
      <c r="C573" s="5" t="inlineStr">
        <is>
          <t>cross_kg</t>
        </is>
      </c>
      <c r="D573" s="5" t="inlineStr">
        <is>
          <t>cross</t>
        </is>
      </c>
      <c r="E573" s="5" t="inlineStr">
        <is>
          <t>en</t>
        </is>
      </c>
      <c r="F573" s="5" t="inlineStr">
        <is>
          <t>few-shot</t>
        </is>
      </c>
      <c r="G573" s="5" t="inlineStr">
        <is>
          <t>cross_kg</t>
        </is>
      </c>
      <c r="H573" s="5" t="inlineStr">
        <is>
          <t>cross_kg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14.7</v>
      </c>
    </row>
    <row r="574">
      <c r="A574" s="5" t="inlineStr">
        <is>
          <t>cross_kg_013</t>
        </is>
      </c>
      <c r="B574" s="5" t="n">
        <v>1</v>
      </c>
      <c r="C574" s="5" t="inlineStr">
        <is>
          <t>cross_kg</t>
        </is>
      </c>
      <c r="D574" s="5" t="inlineStr">
        <is>
          <t>cross</t>
        </is>
      </c>
      <c r="E574" s="5" t="inlineStr">
        <is>
          <t>en</t>
        </is>
      </c>
      <c r="F574" s="5" t="inlineStr">
        <is>
          <t>cot</t>
        </is>
      </c>
      <c r="G574" s="5" t="inlineStr">
        <is>
          <t>cross_kg</t>
        </is>
      </c>
      <c r="H574" s="5" t="inlineStr">
        <is>
          <t>cross_kg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15.36</v>
      </c>
    </row>
    <row r="575">
      <c r="A575" s="5" t="inlineStr">
        <is>
          <t>cross_kg_013</t>
        </is>
      </c>
      <c r="B575" s="5" t="n">
        <v>1</v>
      </c>
      <c r="C575" s="5" t="inlineStr">
        <is>
          <t>cross_kg</t>
        </is>
      </c>
      <c r="D575" s="5" t="inlineStr">
        <is>
          <t>cross</t>
        </is>
      </c>
      <c r="E575" s="5" t="inlineStr">
        <is>
          <t>fr</t>
        </is>
      </c>
      <c r="F575" s="5" t="inlineStr">
        <is>
          <t>zero-shot</t>
        </is>
      </c>
      <c r="G575" s="5" t="inlineStr">
        <is>
          <t>cross_kg</t>
        </is>
      </c>
      <c r="H575" s="5" t="inlineStr">
        <is>
          <t>cross_kg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19.72</v>
      </c>
    </row>
    <row r="576">
      <c r="A576" s="5" t="inlineStr">
        <is>
          <t>cross_kg_013</t>
        </is>
      </c>
      <c r="B576" s="5" t="n">
        <v>1</v>
      </c>
      <c r="C576" s="5" t="inlineStr">
        <is>
          <t>cross_kg</t>
        </is>
      </c>
      <c r="D576" s="5" t="inlineStr">
        <is>
          <t>cross</t>
        </is>
      </c>
      <c r="E576" s="5" t="inlineStr">
        <is>
          <t>fr</t>
        </is>
      </c>
      <c r="F576" s="5" t="inlineStr">
        <is>
          <t>few-shot</t>
        </is>
      </c>
      <c r="G576" s="5" t="inlineStr">
        <is>
          <t>cross_kg</t>
        </is>
      </c>
      <c r="H576" s="5" t="inlineStr">
        <is>
          <t>cross_kg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16.09</v>
      </c>
    </row>
    <row r="577">
      <c r="A577" s="5" t="inlineStr">
        <is>
          <t>cross_kg_013</t>
        </is>
      </c>
      <c r="B577" s="5" t="n">
        <v>1</v>
      </c>
      <c r="C577" s="5" t="inlineStr">
        <is>
          <t>cross_kg</t>
        </is>
      </c>
      <c r="D577" s="5" t="inlineStr">
        <is>
          <t>cross</t>
        </is>
      </c>
      <c r="E577" s="5" t="inlineStr">
        <is>
          <t>fr</t>
        </is>
      </c>
      <c r="F577" s="5" t="inlineStr">
        <is>
          <t>cot</t>
        </is>
      </c>
      <c r="G577" s="5" t="inlineStr">
        <is>
          <t>cross_kg</t>
        </is>
      </c>
      <c r="H577" s="5" t="inlineStr">
        <is>
          <t>cross_kg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16.4</v>
      </c>
    </row>
    <row r="578">
      <c r="A578" s="5" t="inlineStr">
        <is>
          <t>cross_kg_013</t>
        </is>
      </c>
      <c r="B578" s="5" t="n">
        <v>1</v>
      </c>
      <c r="C578" s="5" t="inlineStr">
        <is>
          <t>cross_kg</t>
        </is>
      </c>
      <c r="D578" s="5" t="inlineStr">
        <is>
          <t>cross</t>
        </is>
      </c>
      <c r="E578" s="5" t="inlineStr">
        <is>
          <t>ar</t>
        </is>
      </c>
      <c r="F578" s="5" t="inlineStr">
        <is>
          <t>zero-shot</t>
        </is>
      </c>
      <c r="G578" s="5" t="inlineStr">
        <is>
          <t>cross_kg</t>
        </is>
      </c>
      <c r="H578" s="5" t="inlineStr">
        <is>
          <t>cross_kg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17.86</v>
      </c>
    </row>
    <row r="579">
      <c r="A579" s="5" t="inlineStr">
        <is>
          <t>cross_kg_013</t>
        </is>
      </c>
      <c r="B579" s="5" t="n">
        <v>1</v>
      </c>
      <c r="C579" s="5" t="inlineStr">
        <is>
          <t>cross_kg</t>
        </is>
      </c>
      <c r="D579" s="5" t="inlineStr">
        <is>
          <t>cross</t>
        </is>
      </c>
      <c r="E579" s="5" t="inlineStr">
        <is>
          <t>ar</t>
        </is>
      </c>
      <c r="F579" s="5" t="inlineStr">
        <is>
          <t>few-shot</t>
        </is>
      </c>
      <c r="G579" s="5" t="inlineStr">
        <is>
          <t>cross_kg</t>
        </is>
      </c>
      <c r="H579" s="5" t="inlineStr">
        <is>
          <t>cross_kg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14.33</v>
      </c>
    </row>
    <row r="580">
      <c r="A580" s="5" t="inlineStr">
        <is>
          <t>cross_kg_013</t>
        </is>
      </c>
      <c r="B580" s="5" t="n">
        <v>1</v>
      </c>
      <c r="C580" s="5" t="inlineStr">
        <is>
          <t>cross_kg</t>
        </is>
      </c>
      <c r="D580" s="5" t="inlineStr">
        <is>
          <t>cross</t>
        </is>
      </c>
      <c r="E580" s="5" t="inlineStr">
        <is>
          <t>ar</t>
        </is>
      </c>
      <c r="F580" s="5" t="inlineStr">
        <is>
          <t>cot</t>
        </is>
      </c>
      <c r="G580" s="5" t="inlineStr">
        <is>
          <t>cross_kg</t>
        </is>
      </c>
      <c r="H580" s="5" t="inlineStr">
        <is>
          <t>cross_kg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14.76</v>
      </c>
    </row>
    <row r="581">
      <c r="A581" s="5" t="inlineStr">
        <is>
          <t>filter_string_kg3_003</t>
        </is>
      </c>
      <c r="B581" s="5" t="n">
        <v>2</v>
      </c>
      <c r="C581" s="5" t="inlineStr">
        <is>
          <t>filter_string_kg3</t>
        </is>
      </c>
      <c r="D581" s="5" t="inlineStr">
        <is>
          <t>university</t>
        </is>
      </c>
      <c r="E581" s="5" t="inlineStr">
        <is>
          <t>en</t>
        </is>
      </c>
      <c r="F581" s="5" t="inlineStr">
        <is>
          <t>zero-shot</t>
        </is>
      </c>
      <c r="G581" s="5" t="inlineStr">
        <is>
          <t>template</t>
        </is>
      </c>
      <c r="H581" s="5" t="inlineStr">
        <is>
          <t>template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16.25</v>
      </c>
    </row>
    <row r="582">
      <c r="A582" s="5" t="inlineStr">
        <is>
          <t>filter_string_kg3_003</t>
        </is>
      </c>
      <c r="B582" s="5" t="n">
        <v>2</v>
      </c>
      <c r="C582" s="5" t="inlineStr">
        <is>
          <t>filter_string_kg3</t>
        </is>
      </c>
      <c r="D582" s="5" t="inlineStr">
        <is>
          <t>university</t>
        </is>
      </c>
      <c r="E582" s="5" t="inlineStr">
        <is>
          <t>en</t>
        </is>
      </c>
      <c r="F582" s="5" t="inlineStr">
        <is>
          <t>few-shot</t>
        </is>
      </c>
      <c r="G582" s="5" t="inlineStr">
        <is>
          <t>template</t>
        </is>
      </c>
      <c r="H582" s="5" t="inlineStr">
        <is>
          <t>template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12.07</v>
      </c>
    </row>
    <row r="583">
      <c r="A583" s="5" t="inlineStr">
        <is>
          <t>filter_string_kg3_003</t>
        </is>
      </c>
      <c r="B583" s="5" t="n">
        <v>2</v>
      </c>
      <c r="C583" s="5" t="inlineStr">
        <is>
          <t>filter_string_kg3</t>
        </is>
      </c>
      <c r="D583" s="5" t="inlineStr">
        <is>
          <t>university</t>
        </is>
      </c>
      <c r="E583" s="5" t="inlineStr">
        <is>
          <t>en</t>
        </is>
      </c>
      <c r="F583" s="5" t="inlineStr">
        <is>
          <t>cot</t>
        </is>
      </c>
      <c r="G583" s="5" t="inlineStr">
        <is>
          <t>template</t>
        </is>
      </c>
      <c r="H583" s="5" t="inlineStr">
        <is>
          <t>template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12.61</v>
      </c>
    </row>
    <row r="584">
      <c r="A584" s="5" t="inlineStr">
        <is>
          <t>filter_string_kg3_003</t>
        </is>
      </c>
      <c r="B584" s="5" t="n">
        <v>2</v>
      </c>
      <c r="C584" s="5" t="inlineStr">
        <is>
          <t>filter_string_kg3</t>
        </is>
      </c>
      <c r="D584" s="5" t="inlineStr">
        <is>
          <t>university</t>
        </is>
      </c>
      <c r="E584" s="5" t="inlineStr">
        <is>
          <t>fr</t>
        </is>
      </c>
      <c r="F584" s="5" t="inlineStr">
        <is>
          <t>zero-shot</t>
        </is>
      </c>
      <c r="G584" s="5" t="inlineStr">
        <is>
          <t>template</t>
        </is>
      </c>
      <c r="H584" s="5" t="inlineStr">
        <is>
          <t>template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11.9</v>
      </c>
    </row>
    <row r="585">
      <c r="A585" s="5" t="inlineStr">
        <is>
          <t>filter_string_kg3_003</t>
        </is>
      </c>
      <c r="B585" s="5" t="n">
        <v>2</v>
      </c>
      <c r="C585" s="5" t="inlineStr">
        <is>
          <t>filter_string_kg3</t>
        </is>
      </c>
      <c r="D585" s="5" t="inlineStr">
        <is>
          <t>university</t>
        </is>
      </c>
      <c r="E585" s="5" t="inlineStr">
        <is>
          <t>fr</t>
        </is>
      </c>
      <c r="F585" s="5" t="inlineStr">
        <is>
          <t>few-shot</t>
        </is>
      </c>
      <c r="G585" s="5" t="inlineStr">
        <is>
          <t>template</t>
        </is>
      </c>
      <c r="H585" s="5" t="inlineStr">
        <is>
          <t>template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12.3</v>
      </c>
    </row>
    <row r="586">
      <c r="A586" s="5" t="inlineStr">
        <is>
          <t>filter_string_kg3_003</t>
        </is>
      </c>
      <c r="B586" s="5" t="n">
        <v>2</v>
      </c>
      <c r="C586" s="5" t="inlineStr">
        <is>
          <t>filter_string_kg3</t>
        </is>
      </c>
      <c r="D586" s="5" t="inlineStr">
        <is>
          <t>university</t>
        </is>
      </c>
      <c r="E586" s="5" t="inlineStr">
        <is>
          <t>fr</t>
        </is>
      </c>
      <c r="F586" s="5" t="inlineStr">
        <is>
          <t>cot</t>
        </is>
      </c>
      <c r="G586" s="5" t="inlineStr">
        <is>
          <t>template</t>
        </is>
      </c>
      <c r="H586" s="5" t="inlineStr">
        <is>
          <t>template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12.77</v>
      </c>
    </row>
    <row r="587">
      <c r="A587" s="5" t="inlineStr">
        <is>
          <t>filter_string_kg3_003</t>
        </is>
      </c>
      <c r="B587" s="5" t="n">
        <v>2</v>
      </c>
      <c r="C587" s="5" t="inlineStr">
        <is>
          <t>filter_string_kg3</t>
        </is>
      </c>
      <c r="D587" s="5" t="inlineStr">
        <is>
          <t>university</t>
        </is>
      </c>
      <c r="E587" s="5" t="inlineStr">
        <is>
          <t>ar</t>
        </is>
      </c>
      <c r="F587" s="5" t="inlineStr">
        <is>
          <t>zero-shot</t>
        </is>
      </c>
      <c r="G587" s="5" t="inlineStr">
        <is>
          <t>template</t>
        </is>
      </c>
      <c r="H587" s="5" t="inlineStr">
        <is>
          <t>template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12</v>
      </c>
    </row>
    <row r="588">
      <c r="A588" s="5" t="inlineStr">
        <is>
          <t>filter_string_kg3_003</t>
        </is>
      </c>
      <c r="B588" s="5" t="n">
        <v>2</v>
      </c>
      <c r="C588" s="5" t="inlineStr">
        <is>
          <t>filter_string_kg3</t>
        </is>
      </c>
      <c r="D588" s="5" t="inlineStr">
        <is>
          <t>university</t>
        </is>
      </c>
      <c r="E588" s="5" t="inlineStr">
        <is>
          <t>ar</t>
        </is>
      </c>
      <c r="F588" s="5" t="inlineStr">
        <is>
          <t>few-shot</t>
        </is>
      </c>
      <c r="G588" s="5" t="inlineStr">
        <is>
          <t>template</t>
        </is>
      </c>
      <c r="H588" s="5" t="inlineStr">
        <is>
          <t>template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12.41</v>
      </c>
    </row>
    <row r="589">
      <c r="A589" s="5" t="inlineStr">
        <is>
          <t>filter_string_kg3_003</t>
        </is>
      </c>
      <c r="B589" s="5" t="n">
        <v>2</v>
      </c>
      <c r="C589" s="5" t="inlineStr">
        <is>
          <t>filter_string_kg3</t>
        </is>
      </c>
      <c r="D589" s="5" t="inlineStr">
        <is>
          <t>university</t>
        </is>
      </c>
      <c r="E589" s="5" t="inlineStr">
        <is>
          <t>ar</t>
        </is>
      </c>
      <c r="F589" s="5" t="inlineStr">
        <is>
          <t>cot</t>
        </is>
      </c>
      <c r="G589" s="5" t="inlineStr">
        <is>
          <t>template</t>
        </is>
      </c>
      <c r="H589" s="5" t="inlineStr">
        <is>
          <t>template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12.61</v>
      </c>
    </row>
    <row r="590">
      <c r="A590" s="5" t="inlineStr">
        <is>
          <t>open_kg_007</t>
        </is>
      </c>
      <c r="B590" s="5" t="n">
        <v>1</v>
      </c>
      <c r="C590" s="5" t="inlineStr">
        <is>
          <t>open_kg</t>
        </is>
      </c>
      <c r="D590" s="5" t="inlineStr">
        <is>
          <t>cross</t>
        </is>
      </c>
      <c r="E590" s="5" t="inlineStr">
        <is>
          <t>en</t>
        </is>
      </c>
      <c r="F590" s="5" t="inlineStr">
        <is>
          <t>zero-shot</t>
        </is>
      </c>
      <c r="G590" s="5" t="inlineStr">
        <is>
          <t>open_kg</t>
        </is>
      </c>
      <c r="H590" s="5" t="inlineStr">
        <is>
          <t>template</t>
        </is>
      </c>
      <c r="I590" s="5" t="b">
        <v>0</v>
      </c>
      <c r="J590" s="5" t="b">
        <v>0</v>
      </c>
      <c r="K590" s="5" t="inlineStr">
        <is>
          <t>sparql_build_failure</t>
        </is>
      </c>
      <c r="L590" s="5" t="inlineStr">
        <is>
          <t>params={'property': 'airport', 'operator': '&gt;', 'threshold': 1000, 'mode': 'count'}</t>
        </is>
      </c>
      <c r="M590" s="5" t="n">
        <v>0</v>
      </c>
      <c r="N590" s="5" t="n">
        <v>0</v>
      </c>
      <c r="O590" s="5" t="n">
        <v>14.84</v>
      </c>
    </row>
    <row r="591">
      <c r="A591" s="5" t="inlineStr">
        <is>
          <t>open_kg_007</t>
        </is>
      </c>
      <c r="B591" s="5" t="n">
        <v>1</v>
      </c>
      <c r="C591" s="5" t="inlineStr">
        <is>
          <t>open_kg</t>
        </is>
      </c>
      <c r="D591" s="5" t="inlineStr">
        <is>
          <t>cross</t>
        </is>
      </c>
      <c r="E591" s="5" t="inlineStr">
        <is>
          <t>en</t>
        </is>
      </c>
      <c r="F591" s="5" t="inlineStr">
        <is>
          <t>few-shot</t>
        </is>
      </c>
      <c r="G591" s="5" t="inlineStr">
        <is>
          <t>open_kg</t>
        </is>
      </c>
      <c r="H591" s="5" t="inlineStr">
        <is>
          <t>template</t>
        </is>
      </c>
      <c r="I591" s="5" t="b">
        <v>0</v>
      </c>
      <c r="J591" s="5" t="b">
        <v>0</v>
      </c>
      <c r="K591" s="5" t="inlineStr">
        <is>
          <t>sparql_build_failure</t>
        </is>
      </c>
      <c r="L591" s="5" t="inlineStr">
        <is>
          <t>params={'property': 'airport', 'operator': '&gt;', 'threshold': 1000, 'mode': 'count'}</t>
        </is>
      </c>
      <c r="M591" s="5" t="n">
        <v>0</v>
      </c>
      <c r="N591" s="5" t="n">
        <v>0</v>
      </c>
      <c r="O591" s="5" t="n">
        <v>11.37</v>
      </c>
    </row>
    <row r="592">
      <c r="A592" s="5" t="inlineStr">
        <is>
          <t>open_kg_007</t>
        </is>
      </c>
      <c r="B592" s="5" t="n">
        <v>1</v>
      </c>
      <c r="C592" s="5" t="inlineStr">
        <is>
          <t>open_kg</t>
        </is>
      </c>
      <c r="D592" s="5" t="inlineStr">
        <is>
          <t>cross</t>
        </is>
      </c>
      <c r="E592" s="5" t="inlineStr">
        <is>
          <t>en</t>
        </is>
      </c>
      <c r="F592" s="5" t="inlineStr">
        <is>
          <t>cot</t>
        </is>
      </c>
      <c r="G592" s="5" t="inlineStr">
        <is>
          <t>open_kg</t>
        </is>
      </c>
      <c r="H592" s="5" t="inlineStr">
        <is>
          <t>template</t>
        </is>
      </c>
      <c r="I592" s="5" t="b">
        <v>0</v>
      </c>
      <c r="J592" s="5" t="b">
        <v>0</v>
      </c>
      <c r="K592" s="5" t="inlineStr">
        <is>
          <t>sparql_build_failure</t>
        </is>
      </c>
      <c r="L592" s="5" t="inlineStr">
        <is>
          <t>params={'property': 'airport', 'operator': '&gt;', 'threshold': 1000, 'mode': 'count'}</t>
        </is>
      </c>
      <c r="M592" s="5" t="n">
        <v>0</v>
      </c>
      <c r="N592" s="5" t="n">
        <v>0</v>
      </c>
      <c r="O592" s="5" t="n">
        <v>11.53</v>
      </c>
    </row>
    <row r="593">
      <c r="A593" s="5" t="inlineStr">
        <is>
          <t>open_kg_007</t>
        </is>
      </c>
      <c r="B593" s="5" t="n">
        <v>1</v>
      </c>
      <c r="C593" s="5" t="inlineStr">
        <is>
          <t>open_kg</t>
        </is>
      </c>
      <c r="D593" s="5" t="inlineStr">
        <is>
          <t>cross</t>
        </is>
      </c>
      <c r="E593" s="5" t="inlineStr">
        <is>
          <t>fr</t>
        </is>
      </c>
      <c r="F593" s="5" t="inlineStr">
        <is>
          <t>zero-shot</t>
        </is>
      </c>
      <c r="G593" s="5" t="inlineStr">
        <is>
          <t>open_kg</t>
        </is>
      </c>
      <c r="H593" s="5" t="inlineStr">
        <is>
          <t>template</t>
        </is>
      </c>
      <c r="I593" s="5" t="b">
        <v>0</v>
      </c>
      <c r="J593" s="5" t="b">
        <v>0</v>
      </c>
      <c r="K593" s="5" t="inlineStr">
        <is>
          <t>sparql_build_failure</t>
        </is>
      </c>
      <c r="L593" s="5" t="inlineStr">
        <is>
          <t>params={'property': 'airport', 'operator': '&gt;', 'threshold': 1000, 'mode': 'count'}</t>
        </is>
      </c>
      <c r="M593" s="5" t="n">
        <v>0</v>
      </c>
      <c r="N593" s="5" t="n">
        <v>0</v>
      </c>
      <c r="O593" s="5" t="n">
        <v>14.13</v>
      </c>
    </row>
    <row r="594">
      <c r="A594" s="5" t="inlineStr">
        <is>
          <t>open_kg_007</t>
        </is>
      </c>
      <c r="B594" s="5" t="n">
        <v>1</v>
      </c>
      <c r="C594" s="5" t="inlineStr">
        <is>
          <t>open_kg</t>
        </is>
      </c>
      <c r="D594" s="5" t="inlineStr">
        <is>
          <t>cross</t>
        </is>
      </c>
      <c r="E594" s="5" t="inlineStr">
        <is>
          <t>fr</t>
        </is>
      </c>
      <c r="F594" s="5" t="inlineStr">
        <is>
          <t>few-shot</t>
        </is>
      </c>
      <c r="G594" s="5" t="inlineStr">
        <is>
          <t>open_kg</t>
        </is>
      </c>
      <c r="H594" s="5" t="inlineStr">
        <is>
          <t>template</t>
        </is>
      </c>
      <c r="I594" s="5" t="b">
        <v>0</v>
      </c>
      <c r="J594" s="5" t="b">
        <v>0</v>
      </c>
      <c r="K594" s="5" t="inlineStr">
        <is>
          <t>sparql_build_failure</t>
        </is>
      </c>
      <c r="L594" s="5" t="inlineStr">
        <is>
          <t>params={'property': 'airport', 'operator': '&gt;', 'threshold': 1000, 'mode': 'count'}</t>
        </is>
      </c>
      <c r="M594" s="5" t="n">
        <v>0</v>
      </c>
      <c r="N594" s="5" t="n">
        <v>0</v>
      </c>
      <c r="O594" s="5" t="n">
        <v>10.15</v>
      </c>
    </row>
    <row r="595">
      <c r="A595" s="5" t="inlineStr">
        <is>
          <t>open_kg_007</t>
        </is>
      </c>
      <c r="B595" s="5" t="n">
        <v>1</v>
      </c>
      <c r="C595" s="5" t="inlineStr">
        <is>
          <t>open_kg</t>
        </is>
      </c>
      <c r="D595" s="5" t="inlineStr">
        <is>
          <t>cross</t>
        </is>
      </c>
      <c r="E595" s="5" t="inlineStr">
        <is>
          <t>fr</t>
        </is>
      </c>
      <c r="F595" s="5" t="inlineStr">
        <is>
          <t>cot</t>
        </is>
      </c>
      <c r="G595" s="5" t="inlineStr">
        <is>
          <t>open_kg</t>
        </is>
      </c>
      <c r="H595" s="5" t="inlineStr">
        <is>
          <t>template</t>
        </is>
      </c>
      <c r="I595" s="5" t="b">
        <v>0</v>
      </c>
      <c r="J595" s="5" t="b">
        <v>0</v>
      </c>
      <c r="K595" s="5" t="inlineStr">
        <is>
          <t>sparql_build_failure</t>
        </is>
      </c>
      <c r="L595" s="5" t="inlineStr">
        <is>
          <t>params={'property': 'airport', 'operator': '&gt;', 'threshold': 1000, 'mode': 'count'}</t>
        </is>
      </c>
      <c r="M595" s="5" t="n">
        <v>0</v>
      </c>
      <c r="N595" s="5" t="n">
        <v>0</v>
      </c>
      <c r="O595" s="5" t="n">
        <v>10.38</v>
      </c>
    </row>
    <row r="596">
      <c r="A596" s="5" t="inlineStr">
        <is>
          <t>open_kg_007</t>
        </is>
      </c>
      <c r="B596" s="5" t="n">
        <v>1</v>
      </c>
      <c r="C596" s="5" t="inlineStr">
        <is>
          <t>open_kg</t>
        </is>
      </c>
      <c r="D596" s="5" t="inlineStr">
        <is>
          <t>cross</t>
        </is>
      </c>
      <c r="E596" s="5" t="inlineStr">
        <is>
          <t>ar</t>
        </is>
      </c>
      <c r="F596" s="5" t="inlineStr">
        <is>
          <t>zero-shot</t>
        </is>
      </c>
      <c r="G596" s="5" t="inlineStr">
        <is>
          <t>open_kg</t>
        </is>
      </c>
      <c r="H596" s="5" t="inlineStr">
        <is>
          <t>template</t>
        </is>
      </c>
      <c r="I596" s="5" t="b">
        <v>0</v>
      </c>
      <c r="J596" s="5" t="b">
        <v>0</v>
      </c>
      <c r="K596" s="5" t="inlineStr">
        <is>
          <t>sparql_build_failure</t>
        </is>
      </c>
      <c r="L596" s="5" t="inlineStr">
        <is>
          <t>params={'property': 'airport', 'value': 'Germany', 'mode': 'count'}</t>
        </is>
      </c>
      <c r="M596" s="5" t="n">
        <v>0</v>
      </c>
      <c r="N596" s="5" t="n">
        <v>0</v>
      </c>
      <c r="O596" s="5" t="n">
        <v>12.81</v>
      </c>
    </row>
    <row r="597">
      <c r="A597" s="5" t="inlineStr">
        <is>
          <t>open_kg_007</t>
        </is>
      </c>
      <c r="B597" s="5" t="n">
        <v>1</v>
      </c>
      <c r="C597" s="5" t="inlineStr">
        <is>
          <t>open_kg</t>
        </is>
      </c>
      <c r="D597" s="5" t="inlineStr">
        <is>
          <t>cross</t>
        </is>
      </c>
      <c r="E597" s="5" t="inlineStr">
        <is>
          <t>ar</t>
        </is>
      </c>
      <c r="F597" s="5" t="inlineStr">
        <is>
          <t>few-shot</t>
        </is>
      </c>
      <c r="G597" s="5" t="inlineStr">
        <is>
          <t>open_kg</t>
        </is>
      </c>
      <c r="H597" s="5" t="inlineStr">
        <is>
          <t>template</t>
        </is>
      </c>
      <c r="I597" s="5" t="b">
        <v>0</v>
      </c>
      <c r="J597" s="5" t="b">
        <v>0</v>
      </c>
      <c r="K597" s="5" t="inlineStr">
        <is>
          <t>sparql_build_failure</t>
        </is>
      </c>
      <c r="L597" s="5" t="inlineStr">
        <is>
          <t>params={'property': 'airport', 'value': 'Germany', 'mode': 'count'}</t>
        </is>
      </c>
      <c r="M597" s="5" t="n">
        <v>0</v>
      </c>
      <c r="N597" s="5" t="n">
        <v>0</v>
      </c>
      <c r="O597" s="5" t="n">
        <v>8.199999999999999</v>
      </c>
    </row>
    <row r="598">
      <c r="A598" s="5" t="inlineStr">
        <is>
          <t>open_kg_007</t>
        </is>
      </c>
      <c r="B598" s="5" t="n">
        <v>1</v>
      </c>
      <c r="C598" s="5" t="inlineStr">
        <is>
          <t>open_kg</t>
        </is>
      </c>
      <c r="D598" s="5" t="inlineStr">
        <is>
          <t>cross</t>
        </is>
      </c>
      <c r="E598" s="5" t="inlineStr">
        <is>
          <t>ar</t>
        </is>
      </c>
      <c r="F598" s="5" t="inlineStr">
        <is>
          <t>cot</t>
        </is>
      </c>
      <c r="G598" s="5" t="inlineStr">
        <is>
          <t>open_kg</t>
        </is>
      </c>
      <c r="H598" s="5" t="inlineStr">
        <is>
          <t>template</t>
        </is>
      </c>
      <c r="I598" s="5" t="b">
        <v>0</v>
      </c>
      <c r="J598" s="5" t="b">
        <v>0</v>
      </c>
      <c r="K598" s="5" t="inlineStr">
        <is>
          <t>sparql_build_failure</t>
        </is>
      </c>
      <c r="L598" s="5" t="inlineStr">
        <is>
          <t>params={'property': 'airport', 'value': 'Germany', 'mode': 'count'}</t>
        </is>
      </c>
      <c r="M598" s="5" t="n">
        <v>0</v>
      </c>
      <c r="N598" s="5" t="n">
        <v>0</v>
      </c>
      <c r="O598" s="5" t="n">
        <v>8.81</v>
      </c>
    </row>
    <row r="599">
      <c r="A599" s="5" t="inlineStr">
        <is>
          <t>ranking_kg2_004</t>
        </is>
      </c>
      <c r="B599" s="5" t="n">
        <v>2</v>
      </c>
      <c r="C599" s="5" t="inlineStr">
        <is>
          <t>ranking_kg2</t>
        </is>
      </c>
      <c r="D599" s="5" t="inlineStr">
        <is>
          <t>airports</t>
        </is>
      </c>
      <c r="E599" s="5" t="inlineStr">
        <is>
          <t>en</t>
        </is>
      </c>
      <c r="F599" s="5" t="inlineStr">
        <is>
          <t>zero-shot</t>
        </is>
      </c>
      <c r="G599" s="5" t="inlineStr">
        <is>
          <t>template</t>
        </is>
      </c>
      <c r="H599" s="5" t="inlineStr">
        <is>
          <t>template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18.3</v>
      </c>
    </row>
    <row r="600">
      <c r="A600" s="5" t="inlineStr">
        <is>
          <t>ranking_kg2_004</t>
        </is>
      </c>
      <c r="B600" s="5" t="n">
        <v>2</v>
      </c>
      <c r="C600" s="5" t="inlineStr">
        <is>
          <t>ranking_kg2</t>
        </is>
      </c>
      <c r="D600" s="5" t="inlineStr">
        <is>
          <t>airports</t>
        </is>
      </c>
      <c r="E600" s="5" t="inlineStr">
        <is>
          <t>en</t>
        </is>
      </c>
      <c r="F600" s="5" t="inlineStr">
        <is>
          <t>few-shot</t>
        </is>
      </c>
      <c r="G600" s="5" t="inlineStr">
        <is>
          <t>template</t>
        </is>
      </c>
      <c r="H600" s="5" t="inlineStr">
        <is>
          <t>template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15.59</v>
      </c>
    </row>
    <row r="601">
      <c r="A601" s="5" t="inlineStr">
        <is>
          <t>ranking_kg2_004</t>
        </is>
      </c>
      <c r="B601" s="5" t="n">
        <v>2</v>
      </c>
      <c r="C601" s="5" t="inlineStr">
        <is>
          <t>ranking_kg2</t>
        </is>
      </c>
      <c r="D601" s="5" t="inlineStr">
        <is>
          <t>airports</t>
        </is>
      </c>
      <c r="E601" s="5" t="inlineStr">
        <is>
          <t>en</t>
        </is>
      </c>
      <c r="F601" s="5" t="inlineStr">
        <is>
          <t>cot</t>
        </is>
      </c>
      <c r="G601" s="5" t="inlineStr">
        <is>
          <t>template</t>
        </is>
      </c>
      <c r="H601" s="5" t="inlineStr">
        <is>
          <t>template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15.44</v>
      </c>
    </row>
    <row r="602">
      <c r="A602" s="5" t="inlineStr">
        <is>
          <t>ranking_kg2_004</t>
        </is>
      </c>
      <c r="B602" s="5" t="n">
        <v>2</v>
      </c>
      <c r="C602" s="5" t="inlineStr">
        <is>
          <t>ranking_kg2</t>
        </is>
      </c>
      <c r="D602" s="5" t="inlineStr">
        <is>
          <t>airports</t>
        </is>
      </c>
      <c r="E602" s="5" t="inlineStr">
        <is>
          <t>fr</t>
        </is>
      </c>
      <c r="F602" s="5" t="inlineStr">
        <is>
          <t>zero-shot</t>
        </is>
      </c>
      <c r="G602" s="5" t="inlineStr">
        <is>
          <t>template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1</v>
      </c>
      <c r="N602" s="5" t="n">
        <v>1</v>
      </c>
      <c r="O602" s="5" t="n">
        <v>21.77</v>
      </c>
    </row>
    <row r="603">
      <c r="A603" s="5" t="inlineStr">
        <is>
          <t>ranking_kg2_004</t>
        </is>
      </c>
      <c r="B603" s="5" t="n">
        <v>2</v>
      </c>
      <c r="C603" s="5" t="inlineStr">
        <is>
          <t>ranking_kg2</t>
        </is>
      </c>
      <c r="D603" s="5" t="inlineStr">
        <is>
          <t>airports</t>
        </is>
      </c>
      <c r="E603" s="5" t="inlineStr">
        <is>
          <t>fr</t>
        </is>
      </c>
      <c r="F603" s="5" t="inlineStr">
        <is>
          <t>few-shot</t>
        </is>
      </c>
      <c r="G603" s="5" t="inlineStr">
        <is>
          <t>template</t>
        </is>
      </c>
      <c r="H603" s="5" t="inlineStr">
        <is>
          <t>template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16.43</v>
      </c>
    </row>
    <row r="604">
      <c r="A604" s="5" t="inlineStr">
        <is>
          <t>ranking_kg2_004</t>
        </is>
      </c>
      <c r="B604" s="5" t="n">
        <v>2</v>
      </c>
      <c r="C604" s="5" t="inlineStr">
        <is>
          <t>ranking_kg2</t>
        </is>
      </c>
      <c r="D604" s="5" t="inlineStr">
        <is>
          <t>airports</t>
        </is>
      </c>
      <c r="E604" s="5" t="inlineStr">
        <is>
          <t>fr</t>
        </is>
      </c>
      <c r="F604" s="5" t="inlineStr">
        <is>
          <t>cot</t>
        </is>
      </c>
      <c r="G604" s="5" t="inlineStr">
        <is>
          <t>template</t>
        </is>
      </c>
      <c r="H604" s="5" t="inlineStr">
        <is>
          <t>template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15.57</v>
      </c>
    </row>
    <row r="605">
      <c r="A605" s="5" t="inlineStr">
        <is>
          <t>ranking_kg2_004</t>
        </is>
      </c>
      <c r="B605" s="5" t="n">
        <v>2</v>
      </c>
      <c r="C605" s="5" t="inlineStr">
        <is>
          <t>ranking_kg2</t>
        </is>
      </c>
      <c r="D605" s="5" t="inlineStr">
        <is>
          <t>airports</t>
        </is>
      </c>
      <c r="E605" s="5" t="inlineStr">
        <is>
          <t>ar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18.98</v>
      </c>
    </row>
    <row r="606">
      <c r="A606" s="5" t="inlineStr">
        <is>
          <t>ranking_kg2_004</t>
        </is>
      </c>
      <c r="B606" s="5" t="n">
        <v>2</v>
      </c>
      <c r="C606" s="5" t="inlineStr">
        <is>
          <t>ranking_kg2</t>
        </is>
      </c>
      <c r="D606" s="5" t="inlineStr">
        <is>
          <t>airports</t>
        </is>
      </c>
      <c r="E606" s="5" t="inlineStr">
        <is>
          <t>ar</t>
        </is>
      </c>
      <c r="F606" s="5" t="inlineStr">
        <is>
          <t>few-shot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15.38</v>
      </c>
    </row>
    <row r="607">
      <c r="A607" s="5" t="inlineStr">
        <is>
          <t>ranking_kg2_004</t>
        </is>
      </c>
      <c r="B607" s="5" t="n">
        <v>2</v>
      </c>
      <c r="C607" s="5" t="inlineStr">
        <is>
          <t>ranking_kg2</t>
        </is>
      </c>
      <c r="D607" s="5" t="inlineStr">
        <is>
          <t>airports</t>
        </is>
      </c>
      <c r="E607" s="5" t="inlineStr">
        <is>
          <t>ar</t>
        </is>
      </c>
      <c r="F607" s="5" t="inlineStr">
        <is>
          <t>cot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15.38</v>
      </c>
    </row>
    <row r="608">
      <c r="A608" s="5" t="inlineStr">
        <is>
          <t>ranking_kg3_001</t>
        </is>
      </c>
      <c r="B608" s="5" t="n">
        <v>2</v>
      </c>
      <c r="C608" s="5" t="inlineStr">
        <is>
          <t>ranking_kg3</t>
        </is>
      </c>
      <c r="D608" s="5" t="inlineStr">
        <is>
          <t>university</t>
        </is>
      </c>
      <c r="E608" s="5" t="inlineStr">
        <is>
          <t>en</t>
        </is>
      </c>
      <c r="F608" s="5" t="inlineStr">
        <is>
          <t>zero-shot</t>
        </is>
      </c>
      <c r="G608" s="5" t="inlineStr">
        <is>
          <t>ranking_kg3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0</v>
      </c>
      <c r="N608" s="5" t="n">
        <v>0.4</v>
      </c>
      <c r="O608" s="5" t="n">
        <v>18.84</v>
      </c>
    </row>
    <row r="609">
      <c r="A609" s="5" t="inlineStr">
        <is>
          <t>ranking_kg3_001</t>
        </is>
      </c>
      <c r="B609" s="5" t="n">
        <v>2</v>
      </c>
      <c r="C609" s="5" t="inlineStr">
        <is>
          <t>ranking_kg3</t>
        </is>
      </c>
      <c r="D609" s="5" t="inlineStr">
        <is>
          <t>university</t>
        </is>
      </c>
      <c r="E609" s="5" t="inlineStr">
        <is>
          <t>fr</t>
        </is>
      </c>
      <c r="F609" s="5" t="inlineStr">
        <is>
          <t>zero-shot</t>
        </is>
      </c>
      <c r="G609" s="5" t="inlineStr">
        <is>
          <t>ranking_kg3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0</v>
      </c>
      <c r="N609" s="5" t="n">
        <v>0.4</v>
      </c>
      <c r="O609" s="5" t="n">
        <v>19.56</v>
      </c>
    </row>
    <row r="610">
      <c r="A610" s="5" t="inlineStr">
        <is>
          <t>ranking_kg3_001</t>
        </is>
      </c>
      <c r="B610" s="5" t="n">
        <v>2</v>
      </c>
      <c r="C610" s="5" t="inlineStr">
        <is>
          <t>ranking_kg3</t>
        </is>
      </c>
      <c r="D610" s="5" t="inlineStr">
        <is>
          <t>university</t>
        </is>
      </c>
      <c r="E610" s="5" t="inlineStr">
        <is>
          <t>ar</t>
        </is>
      </c>
      <c r="F610" s="5" t="inlineStr">
        <is>
          <t>zero-shot</t>
        </is>
      </c>
      <c r="G610" s="5" t="inlineStr">
        <is>
          <t>ranking_kg3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0</v>
      </c>
      <c r="N610" s="5" t="n">
        <v>0.4</v>
      </c>
      <c r="O610" s="5" t="n">
        <v>21.18</v>
      </c>
    </row>
    <row r="611">
      <c r="A611" s="5" t="inlineStr">
        <is>
          <t>group_agg_kg2_001</t>
        </is>
      </c>
      <c r="B611" s="5" t="n">
        <v>2</v>
      </c>
      <c r="C611" s="5" t="inlineStr">
        <is>
          <t>group_aggregate_kg2</t>
        </is>
      </c>
      <c r="D611" s="5" t="inlineStr">
        <is>
          <t>airports</t>
        </is>
      </c>
      <c r="E611" s="5" t="inlineStr">
        <is>
          <t>en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1</v>
      </c>
      <c r="N611" s="5" t="n">
        <v>1</v>
      </c>
      <c r="O611" s="5" t="n">
        <v>33.18</v>
      </c>
    </row>
    <row r="612">
      <c r="A612" s="5" t="inlineStr">
        <is>
          <t>group_agg_kg2_001</t>
        </is>
      </c>
      <c r="B612" s="5" t="n">
        <v>2</v>
      </c>
      <c r="C612" s="5" t="inlineStr">
        <is>
          <t>group_aggregate_kg2</t>
        </is>
      </c>
      <c r="D612" s="5" t="inlineStr">
        <is>
          <t>airports</t>
        </is>
      </c>
      <c r="E612" s="5" t="inlineStr">
        <is>
          <t>en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1</v>
      </c>
      <c r="N612" s="5" t="n">
        <v>1</v>
      </c>
      <c r="O612" s="5" t="n">
        <v>13.91</v>
      </c>
    </row>
    <row r="613">
      <c r="A613" s="5" t="inlineStr">
        <is>
          <t>group_agg_kg2_001</t>
        </is>
      </c>
      <c r="B613" s="5" t="n">
        <v>2</v>
      </c>
      <c r="C613" s="5" t="inlineStr">
        <is>
          <t>group_aggregate_kg2</t>
        </is>
      </c>
      <c r="D613" s="5" t="inlineStr">
        <is>
          <t>airports</t>
        </is>
      </c>
      <c r="E613" s="5" t="inlineStr">
        <is>
          <t>en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1</v>
      </c>
      <c r="N613" s="5" t="n">
        <v>1</v>
      </c>
      <c r="O613" s="5" t="n">
        <v>13.99</v>
      </c>
    </row>
    <row r="614">
      <c r="A614" s="5" t="inlineStr">
        <is>
          <t>group_agg_kg2_001</t>
        </is>
      </c>
      <c r="B614" s="5" t="n">
        <v>2</v>
      </c>
      <c r="C614" s="5" t="inlineStr">
        <is>
          <t>group_aggregate_kg2</t>
        </is>
      </c>
      <c r="D614" s="5" t="inlineStr">
        <is>
          <t>airports</t>
        </is>
      </c>
      <c r="E614" s="5" t="inlineStr">
        <is>
          <t>fr</t>
        </is>
      </c>
      <c r="F614" s="5" t="inlineStr">
        <is>
          <t>zero-shot</t>
        </is>
      </c>
      <c r="G614" s="5" t="inlineStr">
        <is>
          <t>template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1</v>
      </c>
      <c r="N614" s="5" t="n">
        <v>1</v>
      </c>
      <c r="O614" s="5" t="n">
        <v>16.19</v>
      </c>
    </row>
    <row r="615">
      <c r="A615" s="5" t="inlineStr">
        <is>
          <t>group_agg_kg2_001</t>
        </is>
      </c>
      <c r="B615" s="5" t="n">
        <v>2</v>
      </c>
      <c r="C615" s="5" t="inlineStr">
        <is>
          <t>group_aggregate_kg2</t>
        </is>
      </c>
      <c r="D615" s="5" t="inlineStr">
        <is>
          <t>airports</t>
        </is>
      </c>
      <c r="E615" s="5" t="inlineStr">
        <is>
          <t>fr</t>
        </is>
      </c>
      <c r="F615" s="5" t="inlineStr">
        <is>
          <t>few-shot</t>
        </is>
      </c>
      <c r="G615" s="5" t="inlineStr">
        <is>
          <t>template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1</v>
      </c>
      <c r="N615" s="5" t="n">
        <v>1</v>
      </c>
      <c r="O615" s="5" t="n">
        <v>14.59</v>
      </c>
    </row>
    <row r="616">
      <c r="A616" s="5" t="inlineStr">
        <is>
          <t>group_agg_kg2_001</t>
        </is>
      </c>
      <c r="B616" s="5" t="n">
        <v>2</v>
      </c>
      <c r="C616" s="5" t="inlineStr">
        <is>
          <t>group_aggregate_kg2</t>
        </is>
      </c>
      <c r="D616" s="5" t="inlineStr">
        <is>
          <t>airports</t>
        </is>
      </c>
      <c r="E616" s="5" t="inlineStr">
        <is>
          <t>fr</t>
        </is>
      </c>
      <c r="F616" s="5" t="inlineStr">
        <is>
          <t>cot</t>
        </is>
      </c>
      <c r="G616" s="5" t="inlineStr">
        <is>
          <t>template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1</v>
      </c>
      <c r="N616" s="5" t="n">
        <v>1</v>
      </c>
      <c r="O616" s="5" t="n">
        <v>13.83</v>
      </c>
    </row>
    <row r="617">
      <c r="A617" s="5" t="inlineStr">
        <is>
          <t>group_agg_kg2_001</t>
        </is>
      </c>
      <c r="B617" s="5" t="n">
        <v>2</v>
      </c>
      <c r="C617" s="5" t="inlineStr">
        <is>
          <t>group_aggregate_kg2</t>
        </is>
      </c>
      <c r="D617" s="5" t="inlineStr">
        <is>
          <t>airports</t>
        </is>
      </c>
      <c r="E617" s="5" t="inlineStr">
        <is>
          <t>ar</t>
        </is>
      </c>
      <c r="F617" s="5" t="inlineStr">
        <is>
          <t>zero-shot</t>
        </is>
      </c>
      <c r="G617" s="5" t="inlineStr">
        <is>
          <t>template</t>
        </is>
      </c>
      <c r="H617" s="5" t="inlineStr">
        <is>
          <t>template</t>
        </is>
      </c>
      <c r="I617" s="5" t="b">
        <v>1</v>
      </c>
      <c r="J617" s="5" t="b">
        <v>1</v>
      </c>
      <c r="K617" s="5" t="inlineStr">
        <is>
          <t>success</t>
        </is>
      </c>
      <c r="L617" s="5" t="n"/>
      <c r="M617" s="5" t="n">
        <v>1</v>
      </c>
      <c r="N617" s="5" t="n">
        <v>1</v>
      </c>
      <c r="O617" s="5" t="n">
        <v>16.91</v>
      </c>
    </row>
    <row r="618">
      <c r="A618" s="5" t="inlineStr">
        <is>
          <t>group_agg_kg2_001</t>
        </is>
      </c>
      <c r="B618" s="5" t="n">
        <v>2</v>
      </c>
      <c r="C618" s="5" t="inlineStr">
        <is>
          <t>group_aggregate_kg2</t>
        </is>
      </c>
      <c r="D618" s="5" t="inlineStr">
        <is>
          <t>airports</t>
        </is>
      </c>
      <c r="E618" s="5" t="inlineStr">
        <is>
          <t>ar</t>
        </is>
      </c>
      <c r="F618" s="5" t="inlineStr">
        <is>
          <t>few-shot</t>
        </is>
      </c>
      <c r="G618" s="5" t="inlineStr">
        <is>
          <t>template</t>
        </is>
      </c>
      <c r="H618" s="5" t="inlineStr">
        <is>
          <t>template</t>
        </is>
      </c>
      <c r="I618" s="5" t="b">
        <v>1</v>
      </c>
      <c r="J618" s="5" t="b">
        <v>1</v>
      </c>
      <c r="K618" s="5" t="inlineStr">
        <is>
          <t>success</t>
        </is>
      </c>
      <c r="L618" s="5" t="n"/>
      <c r="M618" s="5" t="n">
        <v>1</v>
      </c>
      <c r="N618" s="5" t="n">
        <v>1</v>
      </c>
      <c r="O618" s="5" t="n">
        <v>13.92</v>
      </c>
    </row>
    <row r="619">
      <c r="A619" s="5" t="inlineStr">
        <is>
          <t>group_agg_kg2_001</t>
        </is>
      </c>
      <c r="B619" s="5" t="n">
        <v>2</v>
      </c>
      <c r="C619" s="5" t="inlineStr">
        <is>
          <t>group_aggregate_kg2</t>
        </is>
      </c>
      <c r="D619" s="5" t="inlineStr">
        <is>
          <t>airports</t>
        </is>
      </c>
      <c r="E619" s="5" t="inlineStr">
        <is>
          <t>ar</t>
        </is>
      </c>
      <c r="F619" s="5" t="inlineStr">
        <is>
          <t>cot</t>
        </is>
      </c>
      <c r="G619" s="5" t="inlineStr">
        <is>
          <t>template</t>
        </is>
      </c>
      <c r="H619" s="5" t="inlineStr">
        <is>
          <t>template</t>
        </is>
      </c>
      <c r="I619" s="5" t="b">
        <v>1</v>
      </c>
      <c r="J619" s="5" t="b">
        <v>1</v>
      </c>
      <c r="K619" s="5" t="inlineStr">
        <is>
          <t>success</t>
        </is>
      </c>
      <c r="L619" s="5" t="n"/>
      <c r="M619" s="5" t="n">
        <v>1</v>
      </c>
      <c r="N619" s="5" t="n">
        <v>1</v>
      </c>
      <c r="O619" s="5" t="n">
        <v>13.75</v>
      </c>
    </row>
    <row r="620">
      <c r="A620" s="5" t="inlineStr">
        <is>
          <t>group_aggregate_kg1_001</t>
        </is>
      </c>
      <c r="B620" s="5" t="n">
        <v>2</v>
      </c>
      <c r="C620" s="5" t="inlineStr">
        <is>
          <t>group_aggregate_kg1</t>
        </is>
      </c>
      <c r="D620" s="5" t="inlineStr">
        <is>
          <t>flights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template</t>
        </is>
      </c>
      <c r="H620" s="5" t="inlineStr">
        <is>
          <t>template</t>
        </is>
      </c>
      <c r="I620" s="5" t="b">
        <v>1</v>
      </c>
      <c r="J620" s="5" t="b">
        <v>1</v>
      </c>
      <c r="K620" s="5" t="inlineStr">
        <is>
          <t>success</t>
        </is>
      </c>
      <c r="L620" s="5" t="n"/>
      <c r="M620" s="5" t="n">
        <v>0</v>
      </c>
      <c r="N620" s="5" t="n">
        <v>0.5</v>
      </c>
      <c r="O620" s="5" t="n">
        <v>14.24</v>
      </c>
    </row>
    <row r="621">
      <c r="A621" s="5" t="inlineStr">
        <is>
          <t>group_aggregate_kg1_001</t>
        </is>
      </c>
      <c r="B621" s="5" t="n">
        <v>2</v>
      </c>
      <c r="C621" s="5" t="inlineStr">
        <is>
          <t>group_aggregate_kg1</t>
        </is>
      </c>
      <c r="D621" s="5" t="inlineStr">
        <is>
          <t>flights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template</t>
        </is>
      </c>
      <c r="H621" s="5" t="inlineStr">
        <is>
          <t>template</t>
        </is>
      </c>
      <c r="I621" s="5" t="b">
        <v>1</v>
      </c>
      <c r="J621" s="5" t="b">
        <v>1</v>
      </c>
      <c r="K621" s="5" t="inlineStr">
        <is>
          <t>success</t>
        </is>
      </c>
      <c r="L621" s="5" t="n"/>
      <c r="M621" s="5" t="n">
        <v>0</v>
      </c>
      <c r="N621" s="5" t="n">
        <v>0.5</v>
      </c>
      <c r="O621" s="5" t="n">
        <v>16.62</v>
      </c>
    </row>
    <row r="622">
      <c r="A622" s="5" t="inlineStr">
        <is>
          <t>group_aggregate_kg1_001</t>
        </is>
      </c>
      <c r="B622" s="5" t="n">
        <v>2</v>
      </c>
      <c r="C622" s="5" t="inlineStr">
        <is>
          <t>group_aggregate_kg1</t>
        </is>
      </c>
      <c r="D622" s="5" t="inlineStr">
        <is>
          <t>flights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template</t>
        </is>
      </c>
      <c r="H622" s="5" t="inlineStr">
        <is>
          <t>template</t>
        </is>
      </c>
      <c r="I622" s="5" t="b">
        <v>1</v>
      </c>
      <c r="J622" s="5" t="b">
        <v>1</v>
      </c>
      <c r="K622" s="5" t="inlineStr">
        <is>
          <t>success</t>
        </is>
      </c>
      <c r="L622" s="5" t="n"/>
      <c r="M622" s="5" t="n">
        <v>0</v>
      </c>
      <c r="N622" s="5" t="n">
        <v>0.5</v>
      </c>
      <c r="O622" s="5" t="n">
        <v>14.51</v>
      </c>
    </row>
    <row r="623">
      <c r="A623" s="5" t="inlineStr">
        <is>
          <t>group_aggregate_kg3_001</t>
        </is>
      </c>
      <c r="B623" s="5" t="n">
        <v>2</v>
      </c>
      <c r="C623" s="5" t="inlineStr">
        <is>
          <t>group_aggregate_kg3</t>
        </is>
      </c>
      <c r="D623" s="5" t="inlineStr">
        <is>
          <t>university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template</t>
        </is>
      </c>
      <c r="H623" s="5" t="inlineStr">
        <is>
          <t>template</t>
        </is>
      </c>
      <c r="I623" s="5" t="b">
        <v>1</v>
      </c>
      <c r="J623" s="5" t="b">
        <v>1</v>
      </c>
      <c r="K623" s="5" t="inlineStr">
        <is>
          <t>success</t>
        </is>
      </c>
      <c r="L623" s="5" t="n"/>
      <c r="M623" s="5" t="n">
        <v>0</v>
      </c>
      <c r="N623" s="5" t="n">
        <v>0</v>
      </c>
      <c r="O623" s="5" t="n">
        <v>10.68</v>
      </c>
    </row>
    <row r="624">
      <c r="A624" s="5" t="inlineStr">
        <is>
          <t>group_aggregate_kg3_001</t>
        </is>
      </c>
      <c r="B624" s="5" t="n">
        <v>2</v>
      </c>
      <c r="C624" s="5" t="inlineStr">
        <is>
          <t>group_aggregate_kg3</t>
        </is>
      </c>
      <c r="D624" s="5" t="inlineStr">
        <is>
          <t>university</t>
        </is>
      </c>
      <c r="E624" s="5" t="inlineStr">
        <is>
          <t>en</t>
        </is>
      </c>
      <c r="F624" s="5" t="inlineStr">
        <is>
          <t>few-shot</t>
        </is>
      </c>
      <c r="G624" s="5" t="inlineStr">
        <is>
          <t>template</t>
        </is>
      </c>
      <c r="H624" s="5" t="inlineStr">
        <is>
          <t>template</t>
        </is>
      </c>
      <c r="I624" s="5" t="b">
        <v>1</v>
      </c>
      <c r="J624" s="5" t="b">
        <v>1</v>
      </c>
      <c r="K624" s="5" t="inlineStr">
        <is>
          <t>success</t>
        </is>
      </c>
      <c r="L624" s="5" t="n"/>
      <c r="M624" s="5" t="n">
        <v>0</v>
      </c>
      <c r="N624" s="5" t="n">
        <v>0</v>
      </c>
      <c r="O624" s="5" t="n">
        <v>10.82</v>
      </c>
    </row>
    <row r="625">
      <c r="A625" s="5" t="inlineStr">
        <is>
          <t>group_aggregate_kg3_001</t>
        </is>
      </c>
      <c r="B625" s="5" t="n">
        <v>2</v>
      </c>
      <c r="C625" s="5" t="inlineStr">
        <is>
          <t>group_aggregate_kg3</t>
        </is>
      </c>
      <c r="D625" s="5" t="inlineStr">
        <is>
          <t>university</t>
        </is>
      </c>
      <c r="E625" s="5" t="inlineStr">
        <is>
          <t>en</t>
        </is>
      </c>
      <c r="F625" s="5" t="inlineStr">
        <is>
          <t>cot</t>
        </is>
      </c>
      <c r="G625" s="5" t="inlineStr">
        <is>
          <t>template</t>
        </is>
      </c>
      <c r="H625" s="5" t="inlineStr">
        <is>
          <t>template</t>
        </is>
      </c>
      <c r="I625" s="5" t="b">
        <v>1</v>
      </c>
      <c r="J625" s="5" t="b">
        <v>1</v>
      </c>
      <c r="K625" s="5" t="inlineStr">
        <is>
          <t>success</t>
        </is>
      </c>
      <c r="L625" s="5" t="n"/>
      <c r="M625" s="5" t="n">
        <v>0</v>
      </c>
      <c r="N625" s="5" t="n">
        <v>0</v>
      </c>
      <c r="O625" s="5" t="n">
        <v>11.08</v>
      </c>
    </row>
    <row r="626">
      <c r="A626" s="5" t="inlineStr">
        <is>
          <t>group_aggregate_kg3_001</t>
        </is>
      </c>
      <c r="B626" s="5" t="n">
        <v>2</v>
      </c>
      <c r="C626" s="5" t="inlineStr">
        <is>
          <t>group_aggregate_kg3</t>
        </is>
      </c>
      <c r="D626" s="5" t="inlineStr">
        <is>
          <t>university</t>
        </is>
      </c>
      <c r="E626" s="5" t="inlineStr">
        <is>
          <t>fr</t>
        </is>
      </c>
      <c r="F626" s="5" t="inlineStr">
        <is>
          <t>zero-shot</t>
        </is>
      </c>
      <c r="G626" s="5" t="inlineStr">
        <is>
          <t>template</t>
        </is>
      </c>
      <c r="H626" s="5" t="inlineStr">
        <is>
          <t>template</t>
        </is>
      </c>
      <c r="I626" s="5" t="b">
        <v>1</v>
      </c>
      <c r="J626" s="5" t="b">
        <v>1</v>
      </c>
      <c r="K626" s="5" t="inlineStr">
        <is>
          <t>success</t>
        </is>
      </c>
      <c r="L626" s="5" t="n"/>
      <c r="M626" s="5" t="n">
        <v>0</v>
      </c>
      <c r="N626" s="5" t="n">
        <v>0</v>
      </c>
      <c r="O626" s="5" t="n">
        <v>14.51</v>
      </c>
    </row>
    <row r="627">
      <c r="A627" s="5" t="inlineStr">
        <is>
          <t>group_aggregate_kg3_001</t>
        </is>
      </c>
      <c r="B627" s="5" t="n">
        <v>2</v>
      </c>
      <c r="C627" s="5" t="inlineStr">
        <is>
          <t>group_aggregate_kg3</t>
        </is>
      </c>
      <c r="D627" s="5" t="inlineStr">
        <is>
          <t>university</t>
        </is>
      </c>
      <c r="E627" s="5" t="inlineStr">
        <is>
          <t>fr</t>
        </is>
      </c>
      <c r="F627" s="5" t="inlineStr">
        <is>
          <t>few-shot</t>
        </is>
      </c>
      <c r="G627" s="5" t="inlineStr">
        <is>
          <t>template</t>
        </is>
      </c>
      <c r="H627" s="5" t="inlineStr">
        <is>
          <t>template</t>
        </is>
      </c>
      <c r="I627" s="5" t="b">
        <v>1</v>
      </c>
      <c r="J627" s="5" t="b">
        <v>1</v>
      </c>
      <c r="K627" s="5" t="inlineStr">
        <is>
          <t>success</t>
        </is>
      </c>
      <c r="L627" s="5" t="n"/>
      <c r="M627" s="5" t="n">
        <v>0</v>
      </c>
      <c r="N627" s="5" t="n">
        <v>0</v>
      </c>
      <c r="O627" s="5" t="n">
        <v>12.38</v>
      </c>
    </row>
    <row r="628">
      <c r="A628" s="5" t="inlineStr">
        <is>
          <t>group_aggregate_kg3_001</t>
        </is>
      </c>
      <c r="B628" s="5" t="n">
        <v>2</v>
      </c>
      <c r="C628" s="5" t="inlineStr">
        <is>
          <t>group_aggregate_kg3</t>
        </is>
      </c>
      <c r="D628" s="5" t="inlineStr">
        <is>
          <t>university</t>
        </is>
      </c>
      <c r="E628" s="5" t="inlineStr">
        <is>
          <t>fr</t>
        </is>
      </c>
      <c r="F628" s="5" t="inlineStr">
        <is>
          <t>cot</t>
        </is>
      </c>
      <c r="G628" s="5" t="inlineStr">
        <is>
          <t>template</t>
        </is>
      </c>
      <c r="H628" s="5" t="inlineStr">
        <is>
          <t>template</t>
        </is>
      </c>
      <c r="I628" s="5" t="b">
        <v>1</v>
      </c>
      <c r="J628" s="5" t="b">
        <v>1</v>
      </c>
      <c r="K628" s="5" t="inlineStr">
        <is>
          <t>success</t>
        </is>
      </c>
      <c r="L628" s="5" t="n"/>
      <c r="M628" s="5" t="n">
        <v>0</v>
      </c>
      <c r="N628" s="5" t="n">
        <v>0</v>
      </c>
      <c r="O628" s="5" t="n">
        <v>11.13</v>
      </c>
    </row>
    <row r="629">
      <c r="A629" s="5" t="inlineStr">
        <is>
          <t>group_aggregate_kg3_001</t>
        </is>
      </c>
      <c r="B629" s="5" t="n">
        <v>2</v>
      </c>
      <c r="C629" s="5" t="inlineStr">
        <is>
          <t>group_aggregate_kg3</t>
        </is>
      </c>
      <c r="D629" s="5" t="inlineStr">
        <is>
          <t>university</t>
        </is>
      </c>
      <c r="E629" s="5" t="inlineStr">
        <is>
          <t>ar</t>
        </is>
      </c>
      <c r="F629" s="5" t="inlineStr">
        <is>
          <t>zero-shot</t>
        </is>
      </c>
      <c r="G629" s="5" t="inlineStr">
        <is>
          <t>template</t>
        </is>
      </c>
      <c r="H629" s="5" t="inlineStr">
        <is>
          <t>template</t>
        </is>
      </c>
      <c r="I629" s="5" t="b">
        <v>1</v>
      </c>
      <c r="J629" s="5" t="b">
        <v>1</v>
      </c>
      <c r="K629" s="5" t="inlineStr">
        <is>
          <t>success</t>
        </is>
      </c>
      <c r="L629" s="5" t="n"/>
      <c r="M629" s="5" t="n">
        <v>0</v>
      </c>
      <c r="N629" s="5" t="n">
        <v>0</v>
      </c>
      <c r="O629" s="5" t="n">
        <v>14.67</v>
      </c>
    </row>
    <row r="630">
      <c r="A630" s="5" t="inlineStr">
        <is>
          <t>group_aggregate_kg3_001</t>
        </is>
      </c>
      <c r="B630" s="5" t="n">
        <v>2</v>
      </c>
      <c r="C630" s="5" t="inlineStr">
        <is>
          <t>group_aggregate_kg3</t>
        </is>
      </c>
      <c r="D630" s="5" t="inlineStr">
        <is>
          <t>university</t>
        </is>
      </c>
      <c r="E630" s="5" t="inlineStr">
        <is>
          <t>ar</t>
        </is>
      </c>
      <c r="F630" s="5" t="inlineStr">
        <is>
          <t>few-shot</t>
        </is>
      </c>
      <c r="G630" s="5" t="inlineStr">
        <is>
          <t>template</t>
        </is>
      </c>
      <c r="H630" s="5" t="inlineStr">
        <is>
          <t>template</t>
        </is>
      </c>
      <c r="I630" s="5" t="b">
        <v>1</v>
      </c>
      <c r="J630" s="5" t="b">
        <v>1</v>
      </c>
      <c r="K630" s="5" t="inlineStr">
        <is>
          <t>success</t>
        </is>
      </c>
      <c r="L630" s="5" t="n"/>
      <c r="M630" s="5" t="n">
        <v>0</v>
      </c>
      <c r="N630" s="5" t="n">
        <v>0</v>
      </c>
      <c r="O630" s="5" t="n">
        <v>10.35</v>
      </c>
    </row>
    <row r="631">
      <c r="A631" s="5" t="inlineStr">
        <is>
          <t>group_aggregate_kg3_001</t>
        </is>
      </c>
      <c r="B631" s="5" t="n">
        <v>2</v>
      </c>
      <c r="C631" s="5" t="inlineStr">
        <is>
          <t>group_aggregate_kg3</t>
        </is>
      </c>
      <c r="D631" s="5" t="inlineStr">
        <is>
          <t>university</t>
        </is>
      </c>
      <c r="E631" s="5" t="inlineStr">
        <is>
          <t>ar</t>
        </is>
      </c>
      <c r="F631" s="5" t="inlineStr">
        <is>
          <t>cot</t>
        </is>
      </c>
      <c r="G631" s="5" t="inlineStr">
        <is>
          <t>template</t>
        </is>
      </c>
      <c r="H631" s="5" t="inlineStr">
        <is>
          <t>template</t>
        </is>
      </c>
      <c r="I631" s="5" t="b">
        <v>1</v>
      </c>
      <c r="J631" s="5" t="b">
        <v>1</v>
      </c>
      <c r="K631" s="5" t="inlineStr">
        <is>
          <t>success</t>
        </is>
      </c>
      <c r="L631" s="5" t="n"/>
      <c r="M631" s="5" t="n">
        <v>0</v>
      </c>
      <c r="N631" s="5" t="n">
        <v>0</v>
      </c>
      <c r="O631" s="5" t="n">
        <v>10.78</v>
      </c>
    </row>
  </sheetData>
  <autoFilter ref="A1:O6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2026-09-01T13:02:46Z</dcterms:created>
  <dcterms:modified xsi:type="dcterms:W3CDTF">2026-09-01T13:02:46Z</dcterms:modified>
</cp:coreProperties>
</file>