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COUNTIF(Raw!E2:E637,"en")</f>
        <v/>
      </c>
      <c r="C6" s="6">
        <f>IFERROR(COUNTIFS(Raw!E2:E637,"en",Raw!I2:I637,TRUE)/COUNTIF(Raw!E2:E637,"en"),"")</f>
        <v/>
      </c>
      <c r="D6" s="6">
        <f>IFERROR(COUNTIFS(Raw!E2:E637,"en",Raw!K2:K637,"success")/COUNTIF(Raw!E2:E637,"en"),"")</f>
        <v/>
      </c>
      <c r="E6" s="6">
        <f>IFERROR(COUNTIFS(Raw!E2:E637,"en",Raw!J2:J637,TRUE)/COUNTIF(Raw!E2:E637,"en"),"")</f>
        <v/>
      </c>
      <c r="F6" s="6">
        <f>IFERROR(AVERAGEIFS(Raw!M2:M637,Raw!E2:E637,"en"),"")</f>
        <v/>
      </c>
      <c r="G6" s="6">
        <f>IFERROR(AVERAGEIFS(Raw!N2:N637,Raw!E2:E637,"en"),"")</f>
        <v/>
      </c>
    </row>
    <row r="7">
      <c r="A7" s="5" t="inlineStr">
        <is>
          <t>fr</t>
        </is>
      </c>
      <c r="B7" s="5">
        <f>COUNTIF(Raw!E2:E637,"fr")</f>
        <v/>
      </c>
      <c r="C7" s="6">
        <f>IFERROR(COUNTIFS(Raw!E2:E637,"fr",Raw!I2:I637,TRUE)/COUNTIF(Raw!E2:E637,"fr"),"")</f>
        <v/>
      </c>
      <c r="D7" s="6">
        <f>IFERROR(COUNTIFS(Raw!E2:E637,"fr",Raw!K2:K637,"success")/COUNTIF(Raw!E2:E637,"fr"),"")</f>
        <v/>
      </c>
      <c r="E7" s="6">
        <f>IFERROR(COUNTIFS(Raw!E2:E637,"fr",Raw!J2:J637,TRUE)/COUNTIF(Raw!E2:E637,"fr"),"")</f>
        <v/>
      </c>
      <c r="F7" s="6">
        <f>IFERROR(AVERAGEIFS(Raw!M2:M637,Raw!E2:E637,"fr"),"")</f>
        <v/>
      </c>
      <c r="G7" s="6">
        <f>IFERROR(AVERAGEIFS(Raw!N2:N637,Raw!E2:E637,"fr"),"")</f>
        <v/>
      </c>
    </row>
    <row r="8">
      <c r="A8" s="5" t="inlineStr">
        <is>
          <t>ar</t>
        </is>
      </c>
      <c r="B8" s="5">
        <f>COUNTIF(Raw!E2:E637,"ar")</f>
        <v/>
      </c>
      <c r="C8" s="6">
        <f>IFERROR(COUNTIFS(Raw!E2:E637,"ar",Raw!I2:I637,TRUE)/COUNTIF(Raw!E2:E637,"ar"),"")</f>
        <v/>
      </c>
      <c r="D8" s="6">
        <f>IFERROR(COUNTIFS(Raw!E2:E637,"ar",Raw!K2:K637,"success")/COUNTIF(Raw!E2:E637,"ar"),"")</f>
        <v/>
      </c>
      <c r="E8" s="6">
        <f>IFERROR(COUNTIFS(Raw!E2:E637,"ar",Raw!J2:J637,TRUE)/COUNTIF(Raw!E2:E637,"ar"),"")</f>
        <v/>
      </c>
      <c r="F8" s="6">
        <f>IFERROR(AVERAGEIFS(Raw!M2:M637,Raw!E2:E637,"ar"),"")</f>
        <v/>
      </c>
      <c r="G8" s="6">
        <f>IFERROR(AVERAGEIFS(Raw!N2:N637,Raw!E2:E637,"ar"),"")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COUNTIF(Raw!F2:F637,"zero-shot")</f>
        <v/>
      </c>
      <c r="C12" s="6">
        <f>IFERROR(COUNTIFS(Raw!F2:F637,"zero-shot",Raw!I2:I637,TRUE)/COUNTIF(Raw!F2:F637,"zero-shot"),"")</f>
        <v/>
      </c>
      <c r="D12" s="6">
        <f>IFERROR(COUNTIFS(Raw!F2:F637,"zero-shot",Raw!K2:K637,"success")/COUNTIF(Raw!F2:F637,"zero-shot"),"")</f>
        <v/>
      </c>
      <c r="E12" s="6">
        <f>IFERROR(COUNTIFS(Raw!F2:F637,"zero-shot",Raw!J2:J637,TRUE)/COUNTIF(Raw!F2:F637,"zero-shot"),"")</f>
        <v/>
      </c>
      <c r="F12" s="6">
        <f>IFERROR(AVERAGEIFS(Raw!M2:M637,Raw!F2:F637,"zero-shot"),"")</f>
        <v/>
      </c>
      <c r="G12" s="6">
        <f>IFERROR(AVERAGEIFS(Raw!N2:N637,Raw!F2:F637,"zero-shot"),"")</f>
        <v/>
      </c>
    </row>
    <row r="13">
      <c r="A13" s="5" t="inlineStr">
        <is>
          <t>few-shot</t>
        </is>
      </c>
      <c r="B13" s="5">
        <f>COUNTIF(Raw!F2:F637,"few-shot")</f>
        <v/>
      </c>
      <c r="C13" s="6">
        <f>IFERROR(COUNTIFS(Raw!F2:F637,"few-shot",Raw!I2:I637,TRUE)/COUNTIF(Raw!F2:F637,"few-shot"),"")</f>
        <v/>
      </c>
      <c r="D13" s="6">
        <f>IFERROR(COUNTIFS(Raw!F2:F637,"few-shot",Raw!K2:K637,"success")/COUNTIF(Raw!F2:F637,"few-shot"),"")</f>
        <v/>
      </c>
      <c r="E13" s="6">
        <f>IFERROR(COUNTIFS(Raw!F2:F637,"few-shot",Raw!J2:J637,TRUE)/COUNTIF(Raw!F2:F637,"few-shot"),"")</f>
        <v/>
      </c>
      <c r="F13" s="6">
        <f>IFERROR(AVERAGEIFS(Raw!M2:M637,Raw!F2:F637,"few-shot"),"")</f>
        <v/>
      </c>
      <c r="G13" s="6">
        <f>IFERROR(AVERAGEIFS(Raw!N2:N637,Raw!F2:F637,"few-shot"),"")</f>
        <v/>
      </c>
    </row>
    <row r="14">
      <c r="A14" s="5" t="inlineStr">
        <is>
          <t>cot</t>
        </is>
      </c>
      <c r="B14" s="5">
        <f>COUNTIF(Raw!F2:F637,"cot")</f>
        <v/>
      </c>
      <c r="C14" s="6">
        <f>IFERROR(COUNTIFS(Raw!F2:F637,"cot",Raw!I2:I637,TRUE)/COUNTIF(Raw!F2:F637,"cot"),"")</f>
        <v/>
      </c>
      <c r="D14" s="6">
        <f>IFERROR(COUNTIFS(Raw!F2:F637,"cot",Raw!K2:K637,"success")/COUNTIF(Raw!F2:F637,"cot"),"")</f>
        <v/>
      </c>
      <c r="E14" s="6">
        <f>IFERROR(COUNTIFS(Raw!F2:F637,"cot",Raw!J2:J637,TRUE)/COUNTIF(Raw!F2:F637,"cot"),"")</f>
        <v/>
      </c>
      <c r="F14" s="6">
        <f>IFERROR(AVERAGEIFS(Raw!M2:M637,Raw!F2:F637,"cot"),"")</f>
        <v/>
      </c>
      <c r="G14" s="6">
        <f>IFERROR(AVERAGEIFS(Raw!N2:N637,Raw!F2:F637,"cot"),"")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COUNTIF(Raw!B2:B637,"1")</f>
        <v/>
      </c>
      <c r="C18" s="6">
        <f>IFERROR(COUNTIFS(Raw!B2:B637,"1",Raw!I2:I637,TRUE)/COUNTIF(Raw!B2:B637,"1"),"")</f>
        <v/>
      </c>
      <c r="D18" s="6">
        <f>IFERROR(COUNTIFS(Raw!B2:B637,"1",Raw!K2:K637,"success")/COUNTIF(Raw!B2:B637,"1"),"")</f>
        <v/>
      </c>
      <c r="E18" s="6">
        <f>IFERROR(COUNTIFS(Raw!B2:B637,"1",Raw!J2:J637,TRUE)/COUNTIF(Raw!B2:B637,"1"),"")</f>
        <v/>
      </c>
      <c r="F18" s="6">
        <f>IFERROR(AVERAGEIFS(Raw!M2:M637,Raw!B2:B637,"1"),"")</f>
        <v/>
      </c>
      <c r="G18" s="6">
        <f>IFERROR(AVERAGEIFS(Raw!N2:N637,Raw!B2:B637,"1"),"")</f>
        <v/>
      </c>
    </row>
    <row r="19">
      <c r="A19" s="5" t="n">
        <v>2</v>
      </c>
      <c r="B19" s="5">
        <f>COUNTIF(Raw!B2:B637,"2")</f>
        <v/>
      </c>
      <c r="C19" s="6">
        <f>IFERROR(COUNTIFS(Raw!B2:B637,"2",Raw!I2:I637,TRUE)/COUNTIF(Raw!B2:B637,"2"),"")</f>
        <v/>
      </c>
      <c r="D19" s="6">
        <f>IFERROR(COUNTIFS(Raw!B2:B637,"2",Raw!K2:K637,"success")/COUNTIF(Raw!B2:B637,"2"),"")</f>
        <v/>
      </c>
      <c r="E19" s="6">
        <f>IFERROR(COUNTIFS(Raw!B2:B637,"2",Raw!J2:J637,TRUE)/COUNTIF(Raw!B2:B637,"2"),"")</f>
        <v/>
      </c>
      <c r="F19" s="6">
        <f>IFERROR(AVERAGEIFS(Raw!M2:M637,Raw!B2:B637,"2"),"")</f>
        <v/>
      </c>
      <c r="G19" s="6">
        <f>IFERROR(AVERAGEIFS(Raw!N2:N637,Raw!B2:B637,"2"),"")</f>
        <v/>
      </c>
    </row>
    <row r="20">
      <c r="A20" s="5" t="n">
        <v>3</v>
      </c>
      <c r="B20" s="5">
        <f>COUNTIF(Raw!B2:B637,"3")</f>
        <v/>
      </c>
      <c r="C20" s="6">
        <f>IFERROR(COUNTIFS(Raw!B2:B637,"3",Raw!I2:I637,TRUE)/COUNTIF(Raw!B2:B637,"3"),"")</f>
        <v/>
      </c>
      <c r="D20" s="6">
        <f>IFERROR(COUNTIFS(Raw!B2:B637,"3",Raw!K2:K637,"success")/COUNTIF(Raw!B2:B637,"3"),"")</f>
        <v/>
      </c>
      <c r="E20" s="6">
        <f>IFERROR(COUNTIFS(Raw!B2:B637,"3",Raw!J2:J637,TRUE)/COUNTIF(Raw!B2:B637,"3"),"")</f>
        <v/>
      </c>
      <c r="F20" s="6">
        <f>IFERROR(AVERAGEIFS(Raw!M2:M637,Raw!B2:B637,"3"),"")</f>
        <v/>
      </c>
      <c r="G20" s="6">
        <f>IFERROR(AVERAGEIFS(Raw!N2:N637,Raw!B2:B637,"3"),"")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COUNTIF(Raw!C2:C637,"single_kg1")</f>
        <v/>
      </c>
      <c r="C24" s="6">
        <f>IFERROR(COUNTIFS(Raw!C2:C637,"single_kg1",Raw!I2:I637,TRUE)/COUNTIF(Raw!C2:C637,"single_kg1"),"")</f>
        <v/>
      </c>
      <c r="D24" s="6">
        <f>IFERROR(COUNTIFS(Raw!C2:C637,"single_kg1",Raw!K2:K637,"success")/COUNTIF(Raw!C2:C637,"single_kg1"),"")</f>
        <v/>
      </c>
      <c r="E24" s="6">
        <f>IFERROR(COUNTIFS(Raw!C2:C637,"single_kg1",Raw!J2:J637,TRUE)/COUNTIF(Raw!C2:C637,"single_kg1"),"")</f>
        <v/>
      </c>
      <c r="F24" s="6">
        <f>IFERROR(AVERAGEIFS(Raw!M2:M637,Raw!C2:C637,"single_kg1"),"")</f>
        <v/>
      </c>
      <c r="G24" s="6">
        <f>IFERROR(AVERAGEIFS(Raw!N2:N637,Raw!C2:C637,"single_kg1"),"")</f>
        <v/>
      </c>
    </row>
    <row r="25">
      <c r="A25" s="5" t="inlineStr">
        <is>
          <t>single_kg2</t>
        </is>
      </c>
      <c r="B25" s="5">
        <f>COUNTIF(Raw!C2:C637,"single_kg2")</f>
        <v/>
      </c>
      <c r="C25" s="6">
        <f>IFERROR(COUNTIFS(Raw!C2:C637,"single_kg2",Raw!I2:I637,TRUE)/COUNTIF(Raw!C2:C637,"single_kg2"),"")</f>
        <v/>
      </c>
      <c r="D25" s="6">
        <f>IFERROR(COUNTIFS(Raw!C2:C637,"single_kg2",Raw!K2:K637,"success")/COUNTIF(Raw!C2:C637,"single_kg2"),"")</f>
        <v/>
      </c>
      <c r="E25" s="6">
        <f>IFERROR(COUNTIFS(Raw!C2:C637,"single_kg2",Raw!J2:J637,TRUE)/COUNTIF(Raw!C2:C637,"single_kg2"),"")</f>
        <v/>
      </c>
      <c r="F25" s="6">
        <f>IFERROR(AVERAGEIFS(Raw!M2:M637,Raw!C2:C637,"single_kg2"),"")</f>
        <v/>
      </c>
      <c r="G25" s="6">
        <f>IFERROR(AVERAGEIFS(Raw!N2:N637,Raw!C2:C637,"single_kg2"),"")</f>
        <v/>
      </c>
    </row>
    <row r="26">
      <c r="A26" s="5" t="inlineStr">
        <is>
          <t>single_kg3</t>
        </is>
      </c>
      <c r="B26" s="5">
        <f>COUNTIF(Raw!C2:C637,"single_kg3")</f>
        <v/>
      </c>
      <c r="C26" s="6">
        <f>IFERROR(COUNTIFS(Raw!C2:C637,"single_kg3",Raw!I2:I637,TRUE)/COUNTIF(Raw!C2:C637,"single_kg3"),"")</f>
        <v/>
      </c>
      <c r="D26" s="6">
        <f>IFERROR(COUNTIFS(Raw!C2:C637,"single_kg3",Raw!K2:K637,"success")/COUNTIF(Raw!C2:C637,"single_kg3"),"")</f>
        <v/>
      </c>
      <c r="E26" s="6">
        <f>IFERROR(COUNTIFS(Raw!C2:C637,"single_kg3",Raw!J2:J637,TRUE)/COUNTIF(Raw!C2:C637,"single_kg3"),"")</f>
        <v/>
      </c>
      <c r="F26" s="6">
        <f>IFERROR(AVERAGEIFS(Raw!M2:M637,Raw!C2:C637,"single_kg3"),"")</f>
        <v/>
      </c>
      <c r="G26" s="6">
        <f>IFERROR(AVERAGEIFS(Raw!N2:N637,Raw!C2:C637,"single_kg3"),"")</f>
        <v/>
      </c>
    </row>
    <row r="27">
      <c r="A27" s="5" t="inlineStr">
        <is>
          <t>cross_kg</t>
        </is>
      </c>
      <c r="B27" s="5">
        <f>COUNTIF(Raw!C2:C637,"cross_kg")</f>
        <v/>
      </c>
      <c r="C27" s="6">
        <f>IFERROR(COUNTIFS(Raw!C2:C637,"cross_kg",Raw!I2:I637,TRUE)/COUNTIF(Raw!C2:C637,"cross_kg"),"")</f>
        <v/>
      </c>
      <c r="D27" s="6">
        <f>IFERROR(COUNTIFS(Raw!C2:C637,"cross_kg",Raw!K2:K637,"success")/COUNTIF(Raw!C2:C637,"cross_kg"),"")</f>
        <v/>
      </c>
      <c r="E27" s="6">
        <f>IFERROR(COUNTIFS(Raw!C2:C637,"cross_kg",Raw!J2:J637,TRUE)/COUNTIF(Raw!C2:C637,"cross_kg"),"")</f>
        <v/>
      </c>
      <c r="F27" s="6">
        <f>IFERROR(AVERAGEIFS(Raw!M2:M637,Raw!C2:C637,"cross_kg"),"")</f>
        <v/>
      </c>
      <c r="G27" s="6">
        <f>IFERROR(AVERAGEIFS(Raw!N2:N637,Raw!C2:C637,"cross_kg"),"")</f>
        <v/>
      </c>
    </row>
    <row r="28">
      <c r="A28" s="5" t="inlineStr">
        <is>
          <t>open_kg</t>
        </is>
      </c>
      <c r="B28" s="5">
        <f>COUNTIF(Raw!C2:C637,"open_kg")</f>
        <v/>
      </c>
      <c r="C28" s="6">
        <f>IFERROR(COUNTIFS(Raw!C2:C637,"open_kg",Raw!I2:I637,TRUE)/COUNTIF(Raw!C2:C637,"open_kg"),"")</f>
        <v/>
      </c>
      <c r="D28" s="6">
        <f>IFERROR(COUNTIFS(Raw!C2:C637,"open_kg",Raw!K2:K637,"success")/COUNTIF(Raw!C2:C637,"open_kg"),"")</f>
        <v/>
      </c>
      <c r="E28" s="6">
        <f>IFERROR(COUNTIFS(Raw!C2:C637,"open_kg",Raw!J2:J637,TRUE)/COUNTIF(Raw!C2:C637,"open_kg"),"")</f>
        <v/>
      </c>
      <c r="F28" s="6">
        <f>IFERROR(AVERAGEIFS(Raw!M2:M637,Raw!C2:C637,"open_kg"),"")</f>
        <v/>
      </c>
      <c r="G28" s="6">
        <f>IFERROR(AVERAGEIFS(Raw!N2:N637,Raw!C2:C637,"open_kg"),"")</f>
        <v/>
      </c>
    </row>
    <row r="29">
      <c r="A29" s="5" t="inlineStr">
        <is>
          <t>count_kg1</t>
        </is>
      </c>
      <c r="B29" s="5">
        <f>COUNTIF(Raw!C2:C637,"count_kg1")</f>
        <v/>
      </c>
      <c r="C29" s="6">
        <f>IFERROR(COUNTIFS(Raw!C2:C637,"count_kg1",Raw!I2:I637,TRUE)/COUNTIF(Raw!C2:C637,"count_kg1"),"")</f>
        <v/>
      </c>
      <c r="D29" s="6">
        <f>IFERROR(COUNTIFS(Raw!C2:C637,"count_kg1",Raw!K2:K637,"success")/COUNTIF(Raw!C2:C637,"count_kg1"),"")</f>
        <v/>
      </c>
      <c r="E29" s="6">
        <f>IFERROR(COUNTIFS(Raw!C2:C637,"count_kg1",Raw!J2:J637,TRUE)/COUNTIF(Raw!C2:C637,"count_kg1"),"")</f>
        <v/>
      </c>
      <c r="F29" s="6">
        <f>IFERROR(AVERAGEIFS(Raw!M2:M637,Raw!C2:C637,"count_kg1"),"")</f>
        <v/>
      </c>
      <c r="G29" s="6">
        <f>IFERROR(AVERAGEIFS(Raw!N2:N637,Raw!C2:C637,"count_kg1"),"")</f>
        <v/>
      </c>
    </row>
    <row r="30">
      <c r="A30" s="5" t="inlineStr">
        <is>
          <t>count_kg2</t>
        </is>
      </c>
      <c r="B30" s="5">
        <f>COUNTIF(Raw!C2:C637,"count_kg2")</f>
        <v/>
      </c>
      <c r="C30" s="6">
        <f>IFERROR(COUNTIFS(Raw!C2:C637,"count_kg2",Raw!I2:I637,TRUE)/COUNTIF(Raw!C2:C637,"count_kg2"),"")</f>
        <v/>
      </c>
      <c r="D30" s="6">
        <f>IFERROR(COUNTIFS(Raw!C2:C637,"count_kg2",Raw!K2:K637,"success")/COUNTIF(Raw!C2:C637,"count_kg2"),"")</f>
        <v/>
      </c>
      <c r="E30" s="6">
        <f>IFERROR(COUNTIFS(Raw!C2:C637,"count_kg2",Raw!J2:J637,TRUE)/COUNTIF(Raw!C2:C637,"count_kg2"),"")</f>
        <v/>
      </c>
      <c r="F30" s="6">
        <f>IFERROR(AVERAGEIFS(Raw!M2:M637,Raw!C2:C637,"count_kg2"),"")</f>
        <v/>
      </c>
      <c r="G30" s="6">
        <f>IFERROR(AVERAGEIFS(Raw!N2:N637,Raw!C2:C637,"count_kg2"),"")</f>
        <v/>
      </c>
    </row>
    <row r="31">
      <c r="A31" s="5" t="inlineStr">
        <is>
          <t>count_kg3</t>
        </is>
      </c>
      <c r="B31" s="5">
        <f>COUNTIF(Raw!C2:C637,"count_kg3")</f>
        <v/>
      </c>
      <c r="C31" s="6">
        <f>IFERROR(COUNTIFS(Raw!C2:C637,"count_kg3",Raw!I2:I637,TRUE)/COUNTIF(Raw!C2:C637,"count_kg3"),"")</f>
        <v/>
      </c>
      <c r="D31" s="6">
        <f>IFERROR(COUNTIFS(Raw!C2:C637,"count_kg3",Raw!K2:K637,"success")/COUNTIF(Raw!C2:C637,"count_kg3"),"")</f>
        <v/>
      </c>
      <c r="E31" s="6">
        <f>IFERROR(COUNTIFS(Raw!C2:C637,"count_kg3",Raw!J2:J637,TRUE)/COUNTIF(Raw!C2:C637,"count_kg3"),"")</f>
        <v/>
      </c>
      <c r="F31" s="6">
        <f>IFERROR(AVERAGEIFS(Raw!M2:M637,Raw!C2:C637,"count_kg3"),"")</f>
        <v/>
      </c>
      <c r="G31" s="6">
        <f>IFERROR(AVERAGEIFS(Raw!N2:N637,Raw!C2:C637,"count_kg3"),"")</f>
        <v/>
      </c>
    </row>
    <row r="32">
      <c r="A32" s="5" t="inlineStr">
        <is>
          <t>filter_numeric_kg1</t>
        </is>
      </c>
      <c r="B32" s="5">
        <f>COUNTIF(Raw!C2:C637,"filter_numeric_kg1")</f>
        <v/>
      </c>
      <c r="C32" s="6">
        <f>IFERROR(COUNTIFS(Raw!C2:C637,"filter_numeric_kg1",Raw!I2:I637,TRUE)/COUNTIF(Raw!C2:C637,"filter_numeric_kg1"),"")</f>
        <v/>
      </c>
      <c r="D32" s="6">
        <f>IFERROR(COUNTIFS(Raw!C2:C637,"filter_numeric_kg1",Raw!K2:K637,"success")/COUNTIF(Raw!C2:C637,"filter_numeric_kg1"),"")</f>
        <v/>
      </c>
      <c r="E32" s="6">
        <f>IFERROR(COUNTIFS(Raw!C2:C637,"filter_numeric_kg1",Raw!J2:J637,TRUE)/COUNTIF(Raw!C2:C637,"filter_numeric_kg1"),"")</f>
        <v/>
      </c>
      <c r="F32" s="6">
        <f>IFERROR(AVERAGEIFS(Raw!M2:M637,Raw!C2:C637,"filter_numeric_kg1"),"")</f>
        <v/>
      </c>
      <c r="G32" s="6">
        <f>IFERROR(AVERAGEIFS(Raw!N2:N637,Raw!C2:C637,"filter_numeric_kg1"),"")</f>
        <v/>
      </c>
    </row>
    <row r="33">
      <c r="A33" s="5" t="inlineStr">
        <is>
          <t>filter_numeric_kg2</t>
        </is>
      </c>
      <c r="B33" s="5">
        <f>COUNTIF(Raw!C2:C637,"filter_numeric_kg2")</f>
        <v/>
      </c>
      <c r="C33" s="6">
        <f>IFERROR(COUNTIFS(Raw!C2:C637,"filter_numeric_kg2",Raw!I2:I637,TRUE)/COUNTIF(Raw!C2:C637,"filter_numeric_kg2"),"")</f>
        <v/>
      </c>
      <c r="D33" s="6">
        <f>IFERROR(COUNTIFS(Raw!C2:C637,"filter_numeric_kg2",Raw!K2:K637,"success")/COUNTIF(Raw!C2:C637,"filter_numeric_kg2"),"")</f>
        <v/>
      </c>
      <c r="E33" s="6">
        <f>IFERROR(COUNTIFS(Raw!C2:C637,"filter_numeric_kg2",Raw!J2:J637,TRUE)/COUNTIF(Raw!C2:C637,"filter_numeric_kg2"),"")</f>
        <v/>
      </c>
      <c r="F33" s="6">
        <f>IFERROR(AVERAGEIFS(Raw!M2:M637,Raw!C2:C637,"filter_numeric_kg2"),"")</f>
        <v/>
      </c>
      <c r="G33" s="6">
        <f>IFERROR(AVERAGEIFS(Raw!N2:N637,Raw!C2:C637,"filter_numeric_kg2"),"")</f>
        <v/>
      </c>
    </row>
    <row r="34">
      <c r="A34" s="5" t="inlineStr">
        <is>
          <t>filter_numeric_kg3</t>
        </is>
      </c>
      <c r="B34" s="5">
        <f>COUNTIF(Raw!C2:C637,"filter_numeric_kg3")</f>
        <v/>
      </c>
      <c r="C34" s="6">
        <f>IFERROR(COUNTIFS(Raw!C2:C637,"filter_numeric_kg3",Raw!I2:I637,TRUE)/COUNTIF(Raw!C2:C637,"filter_numeric_kg3"),"")</f>
        <v/>
      </c>
      <c r="D34" s="6">
        <f>IFERROR(COUNTIFS(Raw!C2:C637,"filter_numeric_kg3",Raw!K2:K637,"success")/COUNTIF(Raw!C2:C637,"filter_numeric_kg3"),"")</f>
        <v/>
      </c>
      <c r="E34" s="6">
        <f>IFERROR(COUNTIFS(Raw!C2:C637,"filter_numeric_kg3",Raw!J2:J637,TRUE)/COUNTIF(Raw!C2:C637,"filter_numeric_kg3"),"")</f>
        <v/>
      </c>
      <c r="F34" s="6">
        <f>IFERROR(AVERAGEIFS(Raw!M2:M637,Raw!C2:C637,"filter_numeric_kg3"),"")</f>
        <v/>
      </c>
      <c r="G34" s="6">
        <f>IFERROR(AVERAGEIFS(Raw!N2:N637,Raw!C2:C637,"filter_numeric_kg3"),"")</f>
        <v/>
      </c>
    </row>
    <row r="35">
      <c r="A35" s="5" t="inlineStr">
        <is>
          <t>filter_string_kg2</t>
        </is>
      </c>
      <c r="B35" s="5">
        <f>COUNTIF(Raw!C2:C637,"filter_string_kg2")</f>
        <v/>
      </c>
      <c r="C35" s="6">
        <f>IFERROR(COUNTIFS(Raw!C2:C637,"filter_string_kg2",Raw!I2:I637,TRUE)/COUNTIF(Raw!C2:C637,"filter_string_kg2"),"")</f>
        <v/>
      </c>
      <c r="D35" s="6">
        <f>IFERROR(COUNTIFS(Raw!C2:C637,"filter_string_kg2",Raw!K2:K637,"success")/COUNTIF(Raw!C2:C637,"filter_string_kg2"),"")</f>
        <v/>
      </c>
      <c r="E35" s="6">
        <f>IFERROR(COUNTIFS(Raw!C2:C637,"filter_string_kg2",Raw!J2:J637,TRUE)/COUNTIF(Raw!C2:C637,"filter_string_kg2"),"")</f>
        <v/>
      </c>
      <c r="F35" s="6">
        <f>IFERROR(AVERAGEIFS(Raw!M2:M637,Raw!C2:C637,"filter_string_kg2"),"")</f>
        <v/>
      </c>
      <c r="G35" s="6">
        <f>IFERROR(AVERAGEIFS(Raw!N2:N637,Raw!C2:C637,"filter_string_kg2"),"")</f>
        <v/>
      </c>
    </row>
    <row r="36">
      <c r="A36" s="5" t="inlineStr">
        <is>
          <t>filter_string_kg3</t>
        </is>
      </c>
      <c r="B36" s="5">
        <f>COUNTIF(Raw!C2:C637,"filter_string_kg3")</f>
        <v/>
      </c>
      <c r="C36" s="6">
        <f>IFERROR(COUNTIFS(Raw!C2:C637,"filter_string_kg3",Raw!I2:I637,TRUE)/COUNTIF(Raw!C2:C637,"filter_string_kg3"),"")</f>
        <v/>
      </c>
      <c r="D36" s="6">
        <f>IFERROR(COUNTIFS(Raw!C2:C637,"filter_string_kg3",Raw!K2:K637,"success")/COUNTIF(Raw!C2:C637,"filter_string_kg3"),"")</f>
        <v/>
      </c>
      <c r="E36" s="6">
        <f>IFERROR(COUNTIFS(Raw!C2:C637,"filter_string_kg3",Raw!J2:J637,TRUE)/COUNTIF(Raw!C2:C637,"filter_string_kg3"),"")</f>
        <v/>
      </c>
      <c r="F36" s="6">
        <f>IFERROR(AVERAGEIFS(Raw!M2:M637,Raw!C2:C637,"filter_string_kg3"),"")</f>
        <v/>
      </c>
      <c r="G36" s="6">
        <f>IFERROR(AVERAGEIFS(Raw!N2:N637,Raw!C2:C637,"filter_string_kg3"),"")</f>
        <v/>
      </c>
    </row>
    <row r="37">
      <c r="A37" s="5" t="inlineStr">
        <is>
          <t>ranking_kg1</t>
        </is>
      </c>
      <c r="B37" s="5">
        <f>COUNTIF(Raw!C2:C637,"ranking_kg1")</f>
        <v/>
      </c>
      <c r="C37" s="6">
        <f>IFERROR(COUNTIFS(Raw!C2:C637,"ranking_kg1",Raw!I2:I637,TRUE)/COUNTIF(Raw!C2:C637,"ranking_kg1"),"")</f>
        <v/>
      </c>
      <c r="D37" s="6">
        <f>IFERROR(COUNTIFS(Raw!C2:C637,"ranking_kg1",Raw!K2:K637,"success")/COUNTIF(Raw!C2:C637,"ranking_kg1"),"")</f>
        <v/>
      </c>
      <c r="E37" s="6">
        <f>IFERROR(COUNTIFS(Raw!C2:C637,"ranking_kg1",Raw!J2:J637,TRUE)/COUNTIF(Raw!C2:C637,"ranking_kg1"),"")</f>
        <v/>
      </c>
      <c r="F37" s="6">
        <f>IFERROR(AVERAGEIFS(Raw!M2:M637,Raw!C2:C637,"ranking_kg1"),"")</f>
        <v/>
      </c>
      <c r="G37" s="6">
        <f>IFERROR(AVERAGEIFS(Raw!N2:N637,Raw!C2:C637,"ranking_kg1"),"")</f>
        <v/>
      </c>
    </row>
    <row r="38">
      <c r="A38" s="5" t="inlineStr">
        <is>
          <t>ranking_kg2</t>
        </is>
      </c>
      <c r="B38" s="5">
        <f>COUNTIF(Raw!C2:C637,"ranking_kg2")</f>
        <v/>
      </c>
      <c r="C38" s="6">
        <f>IFERROR(COUNTIFS(Raw!C2:C637,"ranking_kg2",Raw!I2:I637,TRUE)/COUNTIF(Raw!C2:C637,"ranking_kg2"),"")</f>
        <v/>
      </c>
      <c r="D38" s="6">
        <f>IFERROR(COUNTIFS(Raw!C2:C637,"ranking_kg2",Raw!K2:K637,"success")/COUNTIF(Raw!C2:C637,"ranking_kg2"),"")</f>
        <v/>
      </c>
      <c r="E38" s="6">
        <f>IFERROR(COUNTIFS(Raw!C2:C637,"ranking_kg2",Raw!J2:J637,TRUE)/COUNTIF(Raw!C2:C637,"ranking_kg2"),"")</f>
        <v/>
      </c>
      <c r="F38" s="6">
        <f>IFERROR(AVERAGEIFS(Raw!M2:M637,Raw!C2:C637,"ranking_kg2"),"")</f>
        <v/>
      </c>
      <c r="G38" s="6">
        <f>IFERROR(AVERAGEIFS(Raw!N2:N637,Raw!C2:C637,"ranking_kg2"),"")</f>
        <v/>
      </c>
    </row>
    <row r="39">
      <c r="A39" s="5" t="inlineStr">
        <is>
          <t>ranking_kg3</t>
        </is>
      </c>
      <c r="B39" s="5">
        <f>COUNTIF(Raw!C2:C637,"ranking_kg3")</f>
        <v/>
      </c>
      <c r="C39" s="6">
        <f>IFERROR(COUNTIFS(Raw!C2:C637,"ranking_kg3",Raw!I2:I637,TRUE)/COUNTIF(Raw!C2:C637,"ranking_kg3"),"")</f>
        <v/>
      </c>
      <c r="D39" s="6">
        <f>IFERROR(COUNTIFS(Raw!C2:C637,"ranking_kg3",Raw!K2:K637,"success")/COUNTIF(Raw!C2:C637,"ranking_kg3"),"")</f>
        <v/>
      </c>
      <c r="E39" s="6">
        <f>IFERROR(COUNTIFS(Raw!C2:C637,"ranking_kg3",Raw!J2:J637,TRUE)/COUNTIF(Raw!C2:C637,"ranking_kg3"),"")</f>
        <v/>
      </c>
      <c r="F39" s="6">
        <f>IFERROR(AVERAGEIFS(Raw!M2:M637,Raw!C2:C637,"ranking_kg3"),"")</f>
        <v/>
      </c>
      <c r="G39" s="6">
        <f>IFERROR(AVERAGEIFS(Raw!N2:N637,Raw!C2:C637,"ranking_kg3"),"")</f>
        <v/>
      </c>
    </row>
    <row r="40">
      <c r="A40" s="5" t="inlineStr">
        <is>
          <t>compare_two_airports</t>
        </is>
      </c>
      <c r="B40" s="5">
        <f>COUNTIF(Raw!C2:C637,"compare_two_airports")</f>
        <v/>
      </c>
      <c r="C40" s="6">
        <f>IFERROR(COUNTIFS(Raw!C2:C637,"compare_two_airports",Raw!I2:I637,TRUE)/COUNTIF(Raw!C2:C637,"compare_two_airports"),"")</f>
        <v/>
      </c>
      <c r="D40" s="6">
        <f>IFERROR(COUNTIFS(Raw!C2:C637,"compare_two_airports",Raw!K2:K637,"success")/COUNTIF(Raw!C2:C637,"compare_two_airports"),"")</f>
        <v/>
      </c>
      <c r="E40" s="6">
        <f>IFERROR(COUNTIFS(Raw!C2:C637,"compare_two_airports",Raw!J2:J637,TRUE)/COUNTIF(Raw!C2:C637,"compare_two_airports"),"")</f>
        <v/>
      </c>
      <c r="F40" s="6">
        <f>IFERROR(AVERAGEIFS(Raw!M2:M637,Raw!C2:C637,"compare_two_airports"),"")</f>
        <v/>
      </c>
      <c r="G40" s="6">
        <f>IFERROR(AVERAGEIFS(Raw!N2:N637,Raw!C2:C637,"compare_two_airports"),"")</f>
        <v/>
      </c>
    </row>
    <row r="41">
      <c r="A41" s="5" t="inlineStr">
        <is>
          <t>compare_two_flights</t>
        </is>
      </c>
      <c r="B41" s="5">
        <f>COUNTIF(Raw!C2:C637,"compare_two_flights")</f>
        <v/>
      </c>
      <c r="C41" s="6">
        <f>IFERROR(COUNTIFS(Raw!C2:C637,"compare_two_flights",Raw!I2:I637,TRUE)/COUNTIF(Raw!C2:C637,"compare_two_flights"),"")</f>
        <v/>
      </c>
      <c r="D41" s="6">
        <f>IFERROR(COUNTIFS(Raw!C2:C637,"compare_two_flights",Raw!K2:K637,"success")/COUNTIF(Raw!C2:C637,"compare_two_flights"),"")</f>
        <v/>
      </c>
      <c r="E41" s="6">
        <f>IFERROR(COUNTIFS(Raw!C2:C637,"compare_two_flights",Raw!J2:J637,TRUE)/COUNTIF(Raw!C2:C637,"compare_two_flights"),"")</f>
        <v/>
      </c>
      <c r="F41" s="6">
        <f>IFERROR(AVERAGEIFS(Raw!M2:M637,Raw!C2:C637,"compare_two_flights"),"")</f>
        <v/>
      </c>
      <c r="G41" s="6">
        <f>IFERROR(AVERAGEIFS(Raw!N2:N637,Raw!C2:C637,"compare_two_flights"),"")</f>
        <v/>
      </c>
    </row>
    <row r="42">
      <c r="A42" s="5" t="inlineStr">
        <is>
          <t>compare_two_departments</t>
        </is>
      </c>
      <c r="B42" s="5">
        <f>COUNTIF(Raw!C2:C637,"compare_two_departments")</f>
        <v/>
      </c>
      <c r="C42" s="6">
        <f>IFERROR(COUNTIFS(Raw!C2:C637,"compare_two_departments",Raw!I2:I637,TRUE)/COUNTIF(Raw!C2:C637,"compare_two_departments"),"")</f>
        <v/>
      </c>
      <c r="D42" s="6">
        <f>IFERROR(COUNTIFS(Raw!C2:C637,"compare_two_departments",Raw!K2:K637,"success")/COUNTIF(Raw!C2:C637,"compare_two_departments"),"")</f>
        <v/>
      </c>
      <c r="E42" s="6">
        <f>IFERROR(COUNTIFS(Raw!C2:C637,"compare_two_departments",Raw!J2:J637,TRUE)/COUNTIF(Raw!C2:C637,"compare_two_departments"),"")</f>
        <v/>
      </c>
      <c r="F42" s="6">
        <f>IFERROR(AVERAGEIFS(Raw!M2:M637,Raw!C2:C637,"compare_two_departments"),"")</f>
        <v/>
      </c>
      <c r="G42" s="6">
        <f>IFERROR(AVERAGEIFS(Raw!N2:N637,Raw!C2:C637,"compare_two_departments"),"")</f>
        <v/>
      </c>
    </row>
    <row r="43">
      <c r="A43" s="5" t="inlineStr">
        <is>
          <t>group_aggregate_kg1</t>
        </is>
      </c>
      <c r="B43" s="5">
        <f>COUNTIF(Raw!C2:C637,"group_aggregate_kg1")</f>
        <v/>
      </c>
      <c r="C43" s="6">
        <f>IFERROR(COUNTIFS(Raw!C2:C637,"group_aggregate_kg1",Raw!I2:I637,TRUE)/COUNTIF(Raw!C2:C637,"group_aggregate_kg1"),"")</f>
        <v/>
      </c>
      <c r="D43" s="6">
        <f>IFERROR(COUNTIFS(Raw!C2:C637,"group_aggregate_kg1",Raw!K2:K637,"success")/COUNTIF(Raw!C2:C637,"group_aggregate_kg1"),"")</f>
        <v/>
      </c>
      <c r="E43" s="6">
        <f>IFERROR(COUNTIFS(Raw!C2:C637,"group_aggregate_kg1",Raw!J2:J637,TRUE)/COUNTIF(Raw!C2:C637,"group_aggregate_kg1"),"")</f>
        <v/>
      </c>
      <c r="F43" s="6">
        <f>IFERROR(AVERAGEIFS(Raw!M2:M637,Raw!C2:C637,"group_aggregate_kg1"),"")</f>
        <v/>
      </c>
      <c r="G43" s="6">
        <f>IFERROR(AVERAGEIFS(Raw!N2:N637,Raw!C2:C637,"group_aggregate_kg1"),"")</f>
        <v/>
      </c>
    </row>
    <row r="44">
      <c r="A44" s="5" t="inlineStr">
        <is>
          <t>group_aggregate_kg2</t>
        </is>
      </c>
      <c r="B44" s="5">
        <f>COUNTIF(Raw!C2:C637,"group_aggregate_kg2")</f>
        <v/>
      </c>
      <c r="C44" s="6">
        <f>IFERROR(COUNTIFS(Raw!C2:C637,"group_aggregate_kg2",Raw!I2:I637,TRUE)/COUNTIF(Raw!C2:C637,"group_aggregate_kg2"),"")</f>
        <v/>
      </c>
      <c r="D44" s="6">
        <f>IFERROR(COUNTIFS(Raw!C2:C637,"group_aggregate_kg2",Raw!K2:K637,"success")/COUNTIF(Raw!C2:C637,"group_aggregate_kg2"),"")</f>
        <v/>
      </c>
      <c r="E44" s="6">
        <f>IFERROR(COUNTIFS(Raw!C2:C637,"group_aggregate_kg2",Raw!J2:J637,TRUE)/COUNTIF(Raw!C2:C637,"group_aggregate_kg2"),"")</f>
        <v/>
      </c>
      <c r="F44" s="6">
        <f>IFERROR(AVERAGEIFS(Raw!M2:M637,Raw!C2:C637,"group_aggregate_kg2"),"")</f>
        <v/>
      </c>
      <c r="G44" s="6">
        <f>IFERROR(AVERAGEIFS(Raw!N2:N637,Raw!C2:C637,"group_aggregate_kg2"),"")</f>
        <v/>
      </c>
    </row>
    <row r="45">
      <c r="A45" s="5" t="inlineStr">
        <is>
          <t>group_aggregate_kg3</t>
        </is>
      </c>
      <c r="B45" s="5">
        <f>COUNTIF(Raw!C2:C637,"group_aggregate_kg3")</f>
        <v/>
      </c>
      <c r="C45" s="6">
        <f>IFERROR(COUNTIFS(Raw!C2:C637,"group_aggregate_kg3",Raw!I2:I637,TRUE)/COUNTIF(Raw!C2:C637,"group_aggregate_kg3"),"")</f>
        <v/>
      </c>
      <c r="D45" s="6">
        <f>IFERROR(COUNTIFS(Raw!C2:C637,"group_aggregate_kg3",Raw!K2:K637,"success")/COUNTIF(Raw!C2:C637,"group_aggregate_kg3"),"")</f>
        <v/>
      </c>
      <c r="E45" s="6">
        <f>IFERROR(COUNTIFS(Raw!C2:C637,"group_aggregate_kg3",Raw!J2:J637,TRUE)/COUNTIF(Raw!C2:C637,"group_aggregate_kg3"),"")</f>
        <v/>
      </c>
      <c r="F45" s="6">
        <f>IFERROR(AVERAGEIFS(Raw!M2:M637,Raw!C2:C637,"group_aggregate_kg3"),"")</f>
        <v/>
      </c>
      <c r="G45" s="6">
        <f>IFERROR(AVERAGEIFS(Raw!N2:N637,Raw!C2:C637,"group_aggregate_kg3"),"")</f>
        <v/>
      </c>
    </row>
    <row r="46">
      <c r="A46" s="5" t="inlineStr">
        <is>
          <t>out_of_scope</t>
        </is>
      </c>
      <c r="B46" s="5">
        <f>COUNTIF(Raw!C2:C637,"out_of_scope")</f>
        <v/>
      </c>
      <c r="C46" s="6">
        <f>IFERROR(COUNTIFS(Raw!C2:C637,"out_of_scope",Raw!I2:I637,TRUE)/COUNTIF(Raw!C2:C637,"out_of_scope"),"")</f>
        <v/>
      </c>
      <c r="D46" s="6">
        <f>IFERROR(COUNTIFS(Raw!C2:C637,"out_of_scope",Raw!K2:K637,"success")/COUNTIF(Raw!C2:C637,"out_of_scope"),"")</f>
        <v/>
      </c>
      <c r="E46" s="6">
        <f>IFERROR(COUNTIFS(Raw!C2:C637,"out_of_scope",Raw!J2:J637,TRUE)/COUNTIF(Raw!C2:C637,"out_of_scope"),"")</f>
        <v/>
      </c>
      <c r="F46" s="6">
        <f>IFERROR(AVERAGEIFS(Raw!M2:M637,Raw!C2:C637,"out_of_scope"),"")</f>
        <v/>
      </c>
      <c r="G46" s="6">
        <f>IFERROR(AVERAGEIFS(Raw!N2:N637,Raw!C2:C637,"out_of_scope"),"")</f>
        <v/>
      </c>
    </row>
    <row r="47">
      <c r="A47" s="5" t="inlineStr">
        <is>
          <t>ask_query</t>
        </is>
      </c>
      <c r="B47" s="5">
        <f>COUNTIF(Raw!C2:C637,"ask_query")</f>
        <v/>
      </c>
      <c r="C47" s="6">
        <f>IFERROR(COUNTIFS(Raw!C2:C637,"ask_query",Raw!I2:I637,TRUE)/COUNTIF(Raw!C2:C637,"ask_query"),"")</f>
        <v/>
      </c>
      <c r="D47" s="6">
        <f>IFERROR(COUNTIFS(Raw!C2:C637,"ask_query",Raw!K2:K637,"success")/COUNTIF(Raw!C2:C637,"ask_query"),"")</f>
        <v/>
      </c>
      <c r="E47" s="6">
        <f>IFERROR(COUNTIFS(Raw!C2:C637,"ask_query",Raw!J2:J637,TRUE)/COUNTIF(Raw!C2:C637,"ask_query"),"")</f>
        <v/>
      </c>
      <c r="F47" s="6">
        <f>IFERROR(AVERAGEIFS(Raw!M2:M637,Raw!C2:C637,"ask_query"),"")</f>
        <v/>
      </c>
      <c r="G47" s="6">
        <f>IFERROR(AVERAGEIFS(Raw!N2:N637,Raw!C2:C637,"ask_query"),"")</f>
        <v/>
      </c>
    </row>
    <row r="48">
      <c r="A48" s="5" t="inlineStr">
        <is>
          <t>typo_fuzzy</t>
        </is>
      </c>
      <c r="B48" s="5">
        <f>COUNTIF(Raw!C2:C637,"typo_fuzzy")</f>
        <v/>
      </c>
      <c r="C48" s="6">
        <f>IFERROR(COUNTIFS(Raw!C2:C637,"typo_fuzzy",Raw!I2:I637,TRUE)/COUNTIF(Raw!C2:C637,"typo_fuzzy"),"")</f>
        <v/>
      </c>
      <c r="D48" s="6">
        <f>IFERROR(COUNTIFS(Raw!C2:C637,"typo_fuzzy",Raw!K2:K637,"success")/COUNTIF(Raw!C2:C637,"typo_fuzzy"),"")</f>
        <v/>
      </c>
      <c r="E48" s="6">
        <f>IFERROR(COUNTIFS(Raw!C2:C637,"typo_fuzzy",Raw!J2:J637,TRUE)/COUNTIF(Raw!C2:C637,"typo_fuzzy"),"")</f>
        <v/>
      </c>
      <c r="F48" s="6">
        <f>IFERROR(AVERAGEIFS(Raw!M2:M637,Raw!C2:C637,"typo_fuzzy"),"")</f>
        <v/>
      </c>
      <c r="G48" s="6">
        <f>IFERROR(AVERAGEIFS(Raw!N2:N637,Raw!C2:C637,"typo_fuzzy"),"")</f>
        <v/>
      </c>
    </row>
    <row r="49">
      <c r="A49" s="5" t="inlineStr">
        <is>
          <t>multilingual_edge</t>
        </is>
      </c>
      <c r="B49" s="5">
        <f>COUNTIF(Raw!C2:C637,"multilingual_edge")</f>
        <v/>
      </c>
      <c r="C49" s="6">
        <f>IFERROR(COUNTIFS(Raw!C2:C637,"multilingual_edge",Raw!I2:I637,TRUE)/COUNTIF(Raw!C2:C637,"multilingual_edge"),"")</f>
        <v/>
      </c>
      <c r="D49" s="6">
        <f>IFERROR(COUNTIFS(Raw!C2:C637,"multilingual_edge",Raw!K2:K637,"success")/COUNTIF(Raw!C2:C637,"multilingual_edge"),"")</f>
        <v/>
      </c>
      <c r="E49" s="6">
        <f>IFERROR(COUNTIFS(Raw!C2:C637,"multilingual_edge",Raw!J2:J637,TRUE)/COUNTIF(Raw!C2:C637,"multilingual_edge"),"")</f>
        <v/>
      </c>
      <c r="F49" s="6">
        <f>IFERROR(AVERAGEIFS(Raw!M2:M637,Raw!C2:C637,"multilingual_edge"),"")</f>
        <v/>
      </c>
      <c r="G49" s="6">
        <f>IFERROR(AVERAGEIFS(Raw!N2:N637,Raw!C2:C637,"multilingual_edge"),"")</f>
        <v/>
      </c>
    </row>
    <row r="50">
      <c r="A50" s="5" t="inlineStr">
        <is>
          <t>property_ambiguity</t>
        </is>
      </c>
      <c r="B50" s="5">
        <f>COUNTIF(Raw!C2:C637,"property_ambiguity")</f>
        <v/>
      </c>
      <c r="C50" s="6">
        <f>IFERROR(COUNTIFS(Raw!C2:C637,"property_ambiguity",Raw!I2:I637,TRUE)/COUNTIF(Raw!C2:C637,"property_ambiguity"),"")</f>
        <v/>
      </c>
      <c r="D50" s="6">
        <f>IFERROR(COUNTIFS(Raw!C2:C637,"property_ambiguity",Raw!K2:K637,"success")/COUNTIF(Raw!C2:C637,"property_ambiguity"),"")</f>
        <v/>
      </c>
      <c r="E50" s="6">
        <f>IFERROR(COUNTIFS(Raw!C2:C637,"property_ambiguity",Raw!J2:J637,TRUE)/COUNTIF(Raw!C2:C637,"property_ambiguity"),"")</f>
        <v/>
      </c>
      <c r="F50" s="6">
        <f>IFERROR(AVERAGEIFS(Raw!M2:M637,Raw!C2:C637,"property_ambiguity"),"")</f>
        <v/>
      </c>
      <c r="G50" s="6">
        <f>IFERROR(AVERAGEIFS(Raw!N2:N637,Raw!C2:C637,"property_ambiguity"),"")</f>
        <v/>
      </c>
    </row>
    <row r="51">
      <c r="A51" s="5" t="inlineStr">
        <is>
          <t>ghost_property</t>
        </is>
      </c>
      <c r="B51" s="5">
        <f>COUNTIF(Raw!C2:C637,"ghost_property")</f>
        <v/>
      </c>
      <c r="C51" s="6">
        <f>IFERROR(COUNTIFS(Raw!C2:C637,"ghost_property",Raw!I2:I637,TRUE)/COUNTIF(Raw!C2:C637,"ghost_property"),"")</f>
        <v/>
      </c>
      <c r="D51" s="6">
        <f>IFERROR(COUNTIFS(Raw!C2:C637,"ghost_property",Raw!K2:K637,"success")/COUNTIF(Raw!C2:C637,"ghost_property"),"")</f>
        <v/>
      </c>
      <c r="E51" s="6">
        <f>IFERROR(COUNTIFS(Raw!C2:C637,"ghost_property",Raw!J2:J637,TRUE)/COUNTIF(Raw!C2:C637,"ghost_property"),"")</f>
        <v/>
      </c>
      <c r="F51" s="6">
        <f>IFERROR(AVERAGEIFS(Raw!M2:M637,Raw!C2:C637,"ghost_property"),"")</f>
        <v/>
      </c>
      <c r="G51" s="6">
        <f>IFERROR(AVERAGEIFS(Raw!N2:N637,Raw!C2:C637,"ghost_property"),"")</f>
        <v/>
      </c>
    </row>
    <row r="52">
      <c r="A52" s="5" t="inlineStr">
        <is>
          <t>multi_value_ambiguity</t>
        </is>
      </c>
      <c r="B52" s="5">
        <f>COUNTIF(Raw!C2:C637,"multi_value_ambiguity")</f>
        <v/>
      </c>
      <c r="C52" s="6">
        <f>IFERROR(COUNTIFS(Raw!C2:C637,"multi_value_ambiguity",Raw!I2:I637,TRUE)/COUNTIF(Raw!C2:C637,"multi_value_ambiguity"),"")</f>
        <v/>
      </c>
      <c r="D52" s="6">
        <f>IFERROR(COUNTIFS(Raw!C2:C637,"multi_value_ambiguity",Raw!K2:K637,"success")/COUNTIF(Raw!C2:C637,"multi_value_ambiguity"),"")</f>
        <v/>
      </c>
      <c r="E52" s="6">
        <f>IFERROR(COUNTIFS(Raw!C2:C637,"multi_value_ambiguity",Raw!J2:J637,TRUE)/COUNTIF(Raw!C2:C637,"multi_value_ambiguity"),"")</f>
        <v/>
      </c>
      <c r="F52" s="6">
        <f>IFERROR(AVERAGEIFS(Raw!M2:M637,Raw!C2:C637,"multi_value_ambiguity"),"")</f>
        <v/>
      </c>
      <c r="G52" s="6">
        <f>IFERROR(AVERAGEIFS(Raw!N2:N637,Raw!C2:C637,"multi_value_ambiguity"),"")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28.78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13.98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14.28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15.19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14.41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16.08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16.83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16.1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16.63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14.76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13.3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13.31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15.05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13.39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14.05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14.06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12.54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13.74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15.16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13.68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14.56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16.1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14.73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16.08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18.2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16.52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16.94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19.51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18.5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19.08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19.45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18.33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19.61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19.74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18.13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19.75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19.26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17.81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18.82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21.14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20.07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21.1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21.51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20.36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21.56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14.61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12.96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12.13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15.78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14.71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15.69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16.25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14.74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15.55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13.73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11.82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12.73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14.07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13.28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14.27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14.92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13.91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15.02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13.23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11.85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12.6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14.21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13.41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14.56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15.07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13.43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14.87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13.35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11.75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12.32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14.33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12.56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13.7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14.4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12.45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13.65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13.09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11.77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12.71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15.46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13.62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14.42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14.55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13.27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14.09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14.43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11.9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12.89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15.35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13.51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14.86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12.99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14.28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17.47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15.85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17.56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18.99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17.95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19.85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19.23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18.17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19.38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13.37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11.42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12.61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15.45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14.18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17.42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16.3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13.28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14.43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21.57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21.31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19.23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23.14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20.34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21.25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20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18.17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20.38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19.42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18.86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22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19.58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20.74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21.45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19.08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19.12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13.99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11.45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12.66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16.05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13.9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15.26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13.09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14.15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18.85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15.77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17.39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19.21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18.42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20.1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20.63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18.08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19.46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16.08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12.6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13.19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17.96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14.35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15.5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15.57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13.04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14.45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10.93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10.55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10.73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12.11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11.54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12.12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13.62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12.53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12.71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12.25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10.18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10.67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12.76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11.82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11.87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12.14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11.99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12.08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12.06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10.41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10.93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26.74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12.67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12.83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14.18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13.08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13.55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13.06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10.76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10.84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13.32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12.09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12.06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12.82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12.24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12.39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16.74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17.18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17.58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13.02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13.26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13.93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15.06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19.53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14.33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17.3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19.38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14.41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14.55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18.43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18.1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13.74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14.91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16.34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16.2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20.34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14.37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17.57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18.07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15.21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15.02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19.67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14.72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14.04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14.66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13.93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14.43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16.04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15.27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15.01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16.54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14.4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24.08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24.37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23.71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27.14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27.31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29.56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19.1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25.13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24.26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33.57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0.0054</v>
      </c>
      <c r="O246" s="5" t="n">
        <v>7.52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26.2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38.02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37.74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42.52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25.03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25.43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26.24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8.720000000000001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8.41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8.31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10.65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7.99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7.96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7.83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7.93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7.84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9.76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14.29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9.58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7.18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12.35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10.88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7.21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8.970000000000001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8.800000000000001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7.15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9.42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7.13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8.15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10.05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9.859999999999999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6.73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6.63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6.47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9.81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0</v>
      </c>
      <c r="N282" s="5" t="n">
        <v>0.2941</v>
      </c>
      <c r="O282" s="5" t="n">
        <v>10.65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10.44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open_kg</t>
        </is>
      </c>
      <c r="I284" s="5" t="b">
        <v>0</v>
      </c>
      <c r="J284" s="5" t="b">
        <v>1</v>
      </c>
      <c r="K284" s="5" t="inlineStr">
        <is>
          <t>success</t>
        </is>
      </c>
      <c r="L284" s="5" t="n"/>
      <c r="M284" s="5" t="n">
        <v>0</v>
      </c>
      <c r="N284" s="5" t="n">
        <v>0.3077</v>
      </c>
      <c r="O284" s="5" t="n">
        <v>29.69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0</v>
      </c>
      <c r="N285" s="5" t="n">
        <v>0.8431</v>
      </c>
      <c r="O285" s="5" t="n">
        <v>6.45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0</v>
      </c>
      <c r="N286" s="5" t="n">
        <v>0.8431</v>
      </c>
      <c r="O286" s="5" t="n">
        <v>6.46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9.619999999999999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0</v>
      </c>
      <c r="N288" s="5" t="n">
        <v>0.1587</v>
      </c>
      <c r="O288" s="5" t="n">
        <v>7.47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7.12</v>
      </c>
    </row>
    <row r="290">
      <c r="A290" s="5" t="inlineStr">
        <is>
          <t>filter_string_kg3_001</t>
        </is>
      </c>
      <c r="B290" s="5" t="n">
        <v>2</v>
      </c>
      <c r="C290" s="5" t="inlineStr">
        <is>
          <t>filter_string_kg3</t>
        </is>
      </c>
      <c r="D290" s="5" t="inlineStr">
        <is>
          <t>university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6.89</v>
      </c>
    </row>
    <row r="291">
      <c r="A291" s="5" t="inlineStr">
        <is>
          <t>filter_string_kg3_001</t>
        </is>
      </c>
      <c r="B291" s="5" t="n">
        <v>2</v>
      </c>
      <c r="C291" s="5" t="inlineStr">
        <is>
          <t>filter_string_kg3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7.01</v>
      </c>
    </row>
    <row r="292">
      <c r="A292" s="5" t="inlineStr">
        <is>
          <t>filter_string_kg3_001</t>
        </is>
      </c>
      <c r="B292" s="5" t="n">
        <v>2</v>
      </c>
      <c r="C292" s="5" t="inlineStr">
        <is>
          <t>filter_string_kg3</t>
        </is>
      </c>
      <c r="D292" s="5" t="inlineStr">
        <is>
          <t>university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6.92</v>
      </c>
    </row>
    <row r="293">
      <c r="A293" s="5" t="inlineStr">
        <is>
          <t>filter_string_kg3_002</t>
        </is>
      </c>
      <c r="B293" s="5" t="n">
        <v>2</v>
      </c>
      <c r="C293" s="5" t="inlineStr">
        <is>
          <t>filter_string_kg3</t>
        </is>
      </c>
      <c r="D293" s="5" t="inlineStr">
        <is>
          <t>university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9.5</v>
      </c>
    </row>
    <row r="294">
      <c r="A294" s="5" t="inlineStr">
        <is>
          <t>filter_string_kg3_002</t>
        </is>
      </c>
      <c r="B294" s="5" t="n">
        <v>2</v>
      </c>
      <c r="C294" s="5" t="inlineStr">
        <is>
          <t>filter_string_kg3</t>
        </is>
      </c>
      <c r="D294" s="5" t="inlineStr">
        <is>
          <t>university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10</v>
      </c>
    </row>
    <row r="295">
      <c r="A295" s="5" t="inlineStr">
        <is>
          <t>filter_string_kg3_002</t>
        </is>
      </c>
      <c r="B295" s="5" t="n">
        <v>2</v>
      </c>
      <c r="C295" s="5" t="inlineStr">
        <is>
          <t>filter_string_kg3</t>
        </is>
      </c>
      <c r="D295" s="5" t="inlineStr">
        <is>
          <t>university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10.89</v>
      </c>
    </row>
    <row r="296">
      <c r="A296" s="5" t="inlineStr">
        <is>
          <t>ranking_kg2_001</t>
        </is>
      </c>
      <c r="B296" s="5" t="n">
        <v>2</v>
      </c>
      <c r="C296" s="5" t="inlineStr">
        <is>
          <t>ranking_kg2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8.779999999999999</v>
      </c>
    </row>
    <row r="297">
      <c r="A297" s="5" t="inlineStr">
        <is>
          <t>ranking_kg2_001</t>
        </is>
      </c>
      <c r="B297" s="5" t="n">
        <v>2</v>
      </c>
      <c r="C297" s="5" t="inlineStr">
        <is>
          <t>ranking_kg2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8.98</v>
      </c>
    </row>
    <row r="298">
      <c r="A298" s="5" t="inlineStr">
        <is>
          <t>ranking_kg2_001</t>
        </is>
      </c>
      <c r="B298" s="5" t="n">
        <v>2</v>
      </c>
      <c r="C298" s="5" t="inlineStr">
        <is>
          <t>ranking_kg2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9.67</v>
      </c>
    </row>
    <row r="299">
      <c r="A299" s="5" t="inlineStr">
        <is>
          <t>ranking_kg2_002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7.21</v>
      </c>
    </row>
    <row r="300">
      <c r="A300" s="5" t="inlineStr">
        <is>
          <t>ranking_kg2_002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6.34</v>
      </c>
    </row>
    <row r="301">
      <c r="A301" s="5" t="inlineStr">
        <is>
          <t>ranking_kg2_002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6.42</v>
      </c>
    </row>
    <row r="302">
      <c r="A302" s="5" t="inlineStr">
        <is>
          <t>ranking_kg2_003</t>
        </is>
      </c>
      <c r="B302" s="5" t="n">
        <v>2</v>
      </c>
      <c r="C302" s="5" t="inlineStr">
        <is>
          <t>ranking_kg2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open_kg</t>
        </is>
      </c>
      <c r="I302" s="5" t="b">
        <v>0</v>
      </c>
      <c r="J302" s="5" t="b">
        <v>0</v>
      </c>
      <c r="K302" s="5" t="inlineStr">
        <is>
          <t>generation_failure</t>
        </is>
      </c>
      <c r="L302" s="5" t="n"/>
      <c r="M302" s="5" t="n">
        <v>0</v>
      </c>
      <c r="N302" s="5" t="n">
        <v>0</v>
      </c>
      <c r="O302" s="5" t="n">
        <v>28.22</v>
      </c>
    </row>
    <row r="303">
      <c r="A303" s="5" t="inlineStr">
        <is>
          <t>ranking_kg2_003</t>
        </is>
      </c>
      <c r="B303" s="5" t="n">
        <v>2</v>
      </c>
      <c r="C303" s="5" t="inlineStr">
        <is>
          <t>ranking_kg2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8.75</v>
      </c>
    </row>
    <row r="304">
      <c r="A304" s="5" t="inlineStr">
        <is>
          <t>ranking_kg2_003</t>
        </is>
      </c>
      <c r="B304" s="5" t="n">
        <v>2</v>
      </c>
      <c r="C304" s="5" t="inlineStr">
        <is>
          <t>ranking_kg2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9.23</v>
      </c>
    </row>
    <row r="305">
      <c r="A305" s="5" t="inlineStr">
        <is>
          <t>compare_two_airports_001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2.95</v>
      </c>
    </row>
    <row r="306">
      <c r="A306" s="5" t="inlineStr">
        <is>
          <t>compare_two_airports_001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2.51</v>
      </c>
    </row>
    <row r="307">
      <c r="A307" s="5" t="inlineStr">
        <is>
          <t>compare_two_airports_001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2.54</v>
      </c>
    </row>
    <row r="308">
      <c r="A308" s="5" t="inlineStr">
        <is>
          <t>compare_two_airports_002</t>
        </is>
      </c>
      <c r="B308" s="5" t="n">
        <v>2</v>
      </c>
      <c r="C308" s="5" t="inlineStr">
        <is>
          <t>compare_two_airports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2.83</v>
      </c>
    </row>
    <row r="309">
      <c r="A309" s="5" t="inlineStr">
        <is>
          <t>compare_two_airports_002</t>
        </is>
      </c>
      <c r="B309" s="5" t="n">
        <v>2</v>
      </c>
      <c r="C309" s="5" t="inlineStr">
        <is>
          <t>compare_two_airports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2.86</v>
      </c>
    </row>
    <row r="310">
      <c r="A310" s="5" t="inlineStr">
        <is>
          <t>compare_two_airports_002</t>
        </is>
      </c>
      <c r="B310" s="5" t="n">
        <v>2</v>
      </c>
      <c r="C310" s="5" t="inlineStr">
        <is>
          <t>compare_two_airports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3.08</v>
      </c>
    </row>
    <row r="311">
      <c r="A311" s="5" t="inlineStr">
        <is>
          <t>compare_two_airports_003</t>
        </is>
      </c>
      <c r="B311" s="5" t="n">
        <v>2</v>
      </c>
      <c r="C311" s="5" t="inlineStr">
        <is>
          <t>compare_two_airports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>
        <v>1</v>
      </c>
      <c r="N311" s="5" t="n">
        <v>1</v>
      </c>
      <c r="O311" s="5" t="n">
        <v>2.5</v>
      </c>
    </row>
    <row r="312">
      <c r="A312" s="5" t="inlineStr">
        <is>
          <t>compare_two_airports_003</t>
        </is>
      </c>
      <c r="B312" s="5" t="n">
        <v>2</v>
      </c>
      <c r="C312" s="5" t="inlineStr">
        <is>
          <t>compare_two_airports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2.53</v>
      </c>
    </row>
    <row r="313">
      <c r="A313" s="5" t="inlineStr">
        <is>
          <t>compare_two_airports_003</t>
        </is>
      </c>
      <c r="B313" s="5" t="n">
        <v>2</v>
      </c>
      <c r="C313" s="5" t="inlineStr">
        <is>
          <t>compare_two_airports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2.89</v>
      </c>
    </row>
    <row r="314">
      <c r="A314" s="5" t="inlineStr">
        <is>
          <t>out_of_scope_001</t>
        </is>
      </c>
      <c r="B314" s="5" t="n">
        <v>3</v>
      </c>
      <c r="C314" s="5" t="inlineStr">
        <is>
          <t>out_of_scope</t>
        </is>
      </c>
      <c r="D314" s="5" t="n">
        <v/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out_of_scope</t>
        </is>
      </c>
      <c r="H314" s="5" t="inlineStr">
        <is>
          <t>out_of_scope</t>
        </is>
      </c>
      <c r="I314" s="5" t="b">
        <v>1</v>
      </c>
      <c r="J314" s="5" t="b">
        <v>0</v>
      </c>
      <c r="K314" s="5" t="inlineStr">
        <is>
          <t>success</t>
        </is>
      </c>
      <c r="L314" s="5" t="n"/>
      <c r="M314" s="5" t="n"/>
      <c r="N314" s="5" t="n"/>
      <c r="O314" s="5" t="n">
        <v>2.29</v>
      </c>
    </row>
    <row r="315">
      <c r="A315" s="5" t="inlineStr">
        <is>
          <t>out_of_scope_001</t>
        </is>
      </c>
      <c r="B315" s="5" t="n">
        <v>3</v>
      </c>
      <c r="C315" s="5" t="inlineStr">
        <is>
          <t>out_of_scope</t>
        </is>
      </c>
      <c r="D315" s="5" t="n">
        <v/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out_of_scope</t>
        </is>
      </c>
      <c r="H315" s="5" t="inlineStr">
        <is>
          <t>out_of_scope</t>
        </is>
      </c>
      <c r="I315" s="5" t="b">
        <v>1</v>
      </c>
      <c r="J315" s="5" t="b">
        <v>0</v>
      </c>
      <c r="K315" s="5" t="inlineStr">
        <is>
          <t>success</t>
        </is>
      </c>
      <c r="L315" s="5" t="n"/>
      <c r="M315" s="5" t="n"/>
      <c r="N315" s="5" t="n"/>
      <c r="O315" s="5" t="n">
        <v>3.07</v>
      </c>
    </row>
    <row r="316">
      <c r="A316" s="5" t="inlineStr">
        <is>
          <t>out_of_scope_001</t>
        </is>
      </c>
      <c r="B316" s="5" t="n">
        <v>3</v>
      </c>
      <c r="C316" s="5" t="inlineStr">
        <is>
          <t>out_of_scope</t>
        </is>
      </c>
      <c r="D316" s="5" t="n">
        <v/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out_of_scope</t>
        </is>
      </c>
      <c r="H316" s="5" t="inlineStr">
        <is>
          <t>out_of_scope</t>
        </is>
      </c>
      <c r="I316" s="5" t="b">
        <v>1</v>
      </c>
      <c r="J316" s="5" t="b">
        <v>0</v>
      </c>
      <c r="K316" s="5" t="inlineStr">
        <is>
          <t>success</t>
        </is>
      </c>
      <c r="L316" s="5" t="n"/>
      <c r="M316" s="5" t="n"/>
      <c r="N316" s="5" t="n"/>
      <c r="O316" s="5" t="n">
        <v>3.25</v>
      </c>
    </row>
    <row r="317">
      <c r="A317" s="5" t="inlineStr">
        <is>
          <t>out_of_scope_002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5.59</v>
      </c>
    </row>
    <row r="318">
      <c r="A318" s="5" t="inlineStr">
        <is>
          <t>out_of_scope_002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7.01</v>
      </c>
    </row>
    <row r="319">
      <c r="A319" s="5" t="inlineStr">
        <is>
          <t>out_of_scope_002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ask_query</t>
        </is>
      </c>
      <c r="I319" s="5" t="b">
        <v>0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5.25</v>
      </c>
    </row>
    <row r="320">
      <c r="A320" s="5" t="inlineStr">
        <is>
          <t>out_of_scope_003</t>
        </is>
      </c>
      <c r="B320" s="5" t="n">
        <v>3</v>
      </c>
      <c r="C320" s="5" t="inlineStr">
        <is>
          <t>out_of_scope</t>
        </is>
      </c>
      <c r="D320" s="5" t="n">
        <v/>
      </c>
      <c r="E320" s="5" t="inlineStr">
        <is>
          <t>en</t>
        </is>
      </c>
      <c r="F320" s="5" t="inlineStr">
        <is>
          <t>zero-shot</t>
        </is>
      </c>
      <c r="G320" s="5" t="inlineStr">
        <is>
          <t>out_of_scope</t>
        </is>
      </c>
      <c r="H320" s="5" t="inlineStr">
        <is>
          <t>out_of_scope</t>
        </is>
      </c>
      <c r="I320" s="5" t="b">
        <v>1</v>
      </c>
      <c r="J320" s="5" t="b">
        <v>0</v>
      </c>
      <c r="K320" s="5" t="inlineStr">
        <is>
          <t>success</t>
        </is>
      </c>
      <c r="L320" s="5" t="n"/>
      <c r="M320" s="5" t="n"/>
      <c r="N320" s="5" t="n"/>
      <c r="O320" s="5" t="n">
        <v>3.48</v>
      </c>
    </row>
    <row r="321">
      <c r="A321" s="5" t="inlineStr">
        <is>
          <t>out_of_scope_003</t>
        </is>
      </c>
      <c r="B321" s="5" t="n">
        <v>3</v>
      </c>
      <c r="C321" s="5" t="inlineStr">
        <is>
          <t>out_of_scope</t>
        </is>
      </c>
      <c r="D321" s="5" t="n">
        <v/>
      </c>
      <c r="E321" s="5" t="inlineStr">
        <is>
          <t>fr</t>
        </is>
      </c>
      <c r="F321" s="5" t="inlineStr">
        <is>
          <t>zero-shot</t>
        </is>
      </c>
      <c r="G321" s="5" t="inlineStr">
        <is>
          <t>out_of_scope</t>
        </is>
      </c>
      <c r="H321" s="5" t="inlineStr">
        <is>
          <t>out_of_scope</t>
        </is>
      </c>
      <c r="I321" s="5" t="b">
        <v>1</v>
      </c>
      <c r="J321" s="5" t="b">
        <v>0</v>
      </c>
      <c r="K321" s="5" t="inlineStr">
        <is>
          <t>success</t>
        </is>
      </c>
      <c r="L321" s="5" t="n"/>
      <c r="M321" s="5" t="n"/>
      <c r="N321" s="5" t="n"/>
      <c r="O321" s="5" t="n">
        <v>3.47</v>
      </c>
    </row>
    <row r="322">
      <c r="A322" s="5" t="inlineStr">
        <is>
          <t>out_of_scope_003</t>
        </is>
      </c>
      <c r="B322" s="5" t="n">
        <v>3</v>
      </c>
      <c r="C322" s="5" t="inlineStr">
        <is>
          <t>out_of_scope</t>
        </is>
      </c>
      <c r="D322" s="5" t="n">
        <v/>
      </c>
      <c r="E322" s="5" t="inlineStr">
        <is>
          <t>ar</t>
        </is>
      </c>
      <c r="F322" s="5" t="inlineStr">
        <is>
          <t>zero-shot</t>
        </is>
      </c>
      <c r="G322" s="5" t="inlineStr">
        <is>
          <t>out_of_scope</t>
        </is>
      </c>
      <c r="H322" s="5" t="inlineStr">
        <is>
          <t>out_of_scope</t>
        </is>
      </c>
      <c r="I322" s="5" t="b">
        <v>1</v>
      </c>
      <c r="J322" s="5" t="b">
        <v>0</v>
      </c>
      <c r="K322" s="5" t="inlineStr">
        <is>
          <t>success</t>
        </is>
      </c>
      <c r="L322" s="5" t="n"/>
      <c r="M322" s="5" t="n"/>
      <c r="N322" s="5" t="n"/>
      <c r="O322" s="5" t="n">
        <v>3.18</v>
      </c>
    </row>
    <row r="323">
      <c r="A323" s="5" t="inlineStr">
        <is>
          <t>ask_query_001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6.36</v>
      </c>
    </row>
    <row r="324">
      <c r="A324" s="5" t="inlineStr">
        <is>
          <t>ask_query_001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5.96</v>
      </c>
    </row>
    <row r="325">
      <c r="A325" s="5" t="inlineStr">
        <is>
          <t>ask_query_001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3.95</v>
      </c>
    </row>
    <row r="326">
      <c r="A326" s="5" t="inlineStr">
        <is>
          <t>ask_query_002</t>
        </is>
      </c>
      <c r="B326" s="5" t="n">
        <v>3</v>
      </c>
      <c r="C326" s="5" t="inlineStr">
        <is>
          <t>ask_query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ask_query</t>
        </is>
      </c>
      <c r="H326" s="5" t="inlineStr">
        <is>
          <t>ask_query</t>
        </is>
      </c>
      <c r="I326" s="5" t="b">
        <v>1</v>
      </c>
      <c r="J326" s="5" t="b">
        <v>1</v>
      </c>
      <c r="K326" s="5" t="inlineStr">
        <is>
          <t>success</t>
        </is>
      </c>
      <c r="L326" s="5" t="n"/>
      <c r="M326" s="5" t="n">
        <v>1</v>
      </c>
      <c r="N326" s="5" t="n">
        <v>1</v>
      </c>
      <c r="O326" s="5" t="n">
        <v>5.3</v>
      </c>
    </row>
    <row r="327">
      <c r="A327" s="5" t="inlineStr">
        <is>
          <t>ask_query_002</t>
        </is>
      </c>
      <c r="B327" s="5" t="n">
        <v>3</v>
      </c>
      <c r="C327" s="5" t="inlineStr">
        <is>
          <t>ask_query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ask_query</t>
        </is>
      </c>
      <c r="H327" s="5" t="inlineStr">
        <is>
          <t>ask_query</t>
        </is>
      </c>
      <c r="I327" s="5" t="b">
        <v>1</v>
      </c>
      <c r="J327" s="5" t="b">
        <v>1</v>
      </c>
      <c r="K327" s="5" t="inlineStr">
        <is>
          <t>success</t>
        </is>
      </c>
      <c r="L327" s="5" t="n"/>
      <c r="M327" s="5" t="n">
        <v>1</v>
      </c>
      <c r="N327" s="5" t="n">
        <v>1</v>
      </c>
      <c r="O327" s="5" t="n">
        <v>6.09</v>
      </c>
    </row>
    <row r="328">
      <c r="A328" s="5" t="inlineStr">
        <is>
          <t>ask_query_002</t>
        </is>
      </c>
      <c r="B328" s="5" t="n">
        <v>3</v>
      </c>
      <c r="C328" s="5" t="inlineStr">
        <is>
          <t>ask_query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ask_query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4.11</v>
      </c>
    </row>
    <row r="329">
      <c r="A329" s="5" t="inlineStr">
        <is>
          <t>ask_query_003</t>
        </is>
      </c>
      <c r="B329" s="5" t="n">
        <v>3</v>
      </c>
      <c r="C329" s="5" t="inlineStr">
        <is>
          <t>ask_query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ask_query</t>
        </is>
      </c>
      <c r="H329" s="5" t="inlineStr">
        <is>
          <t>out_of_scope</t>
        </is>
      </c>
      <c r="I329" s="5" t="b">
        <v>0</v>
      </c>
      <c r="J329" s="5" t="b">
        <v>0</v>
      </c>
      <c r="K329" s="5" t="inlineStr">
        <is>
          <t>routing_miss</t>
        </is>
      </c>
      <c r="L329" s="5" t="n"/>
      <c r="M329" s="5" t="n"/>
      <c r="N329" s="5" t="n"/>
      <c r="O329" s="5" t="n">
        <v>4.26</v>
      </c>
    </row>
    <row r="330">
      <c r="A330" s="5" t="inlineStr">
        <is>
          <t>ask_query_003</t>
        </is>
      </c>
      <c r="B330" s="5" t="n">
        <v>3</v>
      </c>
      <c r="C330" s="5" t="inlineStr">
        <is>
          <t>ask_query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ask_query</t>
        </is>
      </c>
      <c r="H330" s="5" t="inlineStr">
        <is>
          <t>out_of_scope</t>
        </is>
      </c>
      <c r="I330" s="5" t="b">
        <v>0</v>
      </c>
      <c r="J330" s="5" t="b">
        <v>0</v>
      </c>
      <c r="K330" s="5" t="inlineStr">
        <is>
          <t>routing_miss</t>
        </is>
      </c>
      <c r="L330" s="5" t="n"/>
      <c r="M330" s="5" t="n"/>
      <c r="N330" s="5" t="n"/>
      <c r="O330" s="5" t="n">
        <v>3.94</v>
      </c>
    </row>
    <row r="331">
      <c r="A331" s="5" t="inlineStr">
        <is>
          <t>ask_query_003</t>
        </is>
      </c>
      <c r="B331" s="5" t="n">
        <v>3</v>
      </c>
      <c r="C331" s="5" t="inlineStr">
        <is>
          <t>ask_query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ask_query</t>
        </is>
      </c>
      <c r="H331" s="5" t="inlineStr">
        <is>
          <t>ask_query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3.81</v>
      </c>
    </row>
    <row r="332">
      <c r="A332" s="5" t="inlineStr">
        <is>
          <t>ask_query_004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5.97</v>
      </c>
    </row>
    <row r="333">
      <c r="A333" s="5" t="inlineStr">
        <is>
          <t>ask_query_004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7.01</v>
      </c>
    </row>
    <row r="334">
      <c r="A334" s="5" t="inlineStr">
        <is>
          <t>ask_query_004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5.07</v>
      </c>
    </row>
    <row r="335">
      <c r="A335" s="5" t="inlineStr">
        <is>
          <t>typo_fuzzy_001</t>
        </is>
      </c>
      <c r="B335" s="5" t="n">
        <v>3</v>
      </c>
      <c r="C335" s="5" t="inlineStr">
        <is>
          <t>typo_fuzzy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single_kg2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15.49</v>
      </c>
    </row>
    <row r="336">
      <c r="A336" s="5" t="inlineStr">
        <is>
          <t>typo_fuzzy_001</t>
        </is>
      </c>
      <c r="B336" s="5" t="n">
        <v>3</v>
      </c>
      <c r="C336" s="5" t="inlineStr">
        <is>
          <t>typo_fuzzy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single_kg2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16.22</v>
      </c>
    </row>
    <row r="337">
      <c r="A337" s="5" t="inlineStr">
        <is>
          <t>typo_fuzzy_001</t>
        </is>
      </c>
      <c r="B337" s="5" t="n">
        <v>3</v>
      </c>
      <c r="C337" s="5" t="inlineStr">
        <is>
          <t>typo_fuzzy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single_kg2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15.45</v>
      </c>
    </row>
    <row r="338">
      <c r="A338" s="5" t="inlineStr">
        <is>
          <t>typo_fuzzy_002</t>
        </is>
      </c>
      <c r="B338" s="5" t="n">
        <v>3</v>
      </c>
      <c r="C338" s="5" t="inlineStr">
        <is>
          <t>typo_fuzzy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cross_kg</t>
        </is>
      </c>
      <c r="I338" s="5" t="b">
        <v>1</v>
      </c>
      <c r="J338" s="5" t="b">
        <v>0</v>
      </c>
      <c r="K338" s="5" t="inlineStr">
        <is>
          <t>mapping_failure</t>
        </is>
      </c>
      <c r="L338" s="5" t="n"/>
      <c r="M338" s="5" t="n">
        <v>0</v>
      </c>
      <c r="N338" s="5" t="n">
        <v>0</v>
      </c>
      <c r="O338" s="5" t="n">
        <v>11.97</v>
      </c>
    </row>
    <row r="339">
      <c r="A339" s="5" t="inlineStr">
        <is>
          <t>typo_fuzzy_002</t>
        </is>
      </c>
      <c r="B339" s="5" t="n">
        <v>3</v>
      </c>
      <c r="C339" s="5" t="inlineStr">
        <is>
          <t>typo_fuzzy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single_kg1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18.28</v>
      </c>
    </row>
    <row r="340">
      <c r="A340" s="5" t="inlineStr">
        <is>
          <t>typo_fuzzy_002</t>
        </is>
      </c>
      <c r="B340" s="5" t="n">
        <v>3</v>
      </c>
      <c r="C340" s="5" t="inlineStr">
        <is>
          <t>typo_fuzzy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single_kg1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19.7</v>
      </c>
    </row>
    <row r="341">
      <c r="A341" s="5" t="inlineStr">
        <is>
          <t>typo_fuzzy_003</t>
        </is>
      </c>
      <c r="B341" s="5" t="n">
        <v>3</v>
      </c>
      <c r="C341" s="5" t="inlineStr">
        <is>
          <t>typo_fuzzy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VARIES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20.19</v>
      </c>
    </row>
    <row r="342">
      <c r="A342" s="5" t="inlineStr">
        <is>
          <t>typo_fuzzy_003</t>
        </is>
      </c>
      <c r="B342" s="5" t="n">
        <v>3</v>
      </c>
      <c r="C342" s="5" t="inlineStr">
        <is>
          <t>typo_fuzzy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VARIES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22.42</v>
      </c>
    </row>
    <row r="343">
      <c r="A343" s="5" t="inlineStr">
        <is>
          <t>typo_fuzzy_003</t>
        </is>
      </c>
      <c r="B343" s="5" t="n">
        <v>3</v>
      </c>
      <c r="C343" s="5" t="inlineStr">
        <is>
          <t>typo_fuzzy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VARIES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22.98</v>
      </c>
    </row>
    <row r="344">
      <c r="A344" s="5" t="inlineStr">
        <is>
          <t>multilingual_edge_001</t>
        </is>
      </c>
      <c r="B344" s="5" t="n">
        <v>3</v>
      </c>
      <c r="C344" s="5" t="inlineStr">
        <is>
          <t>multilingual_edge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16.28</v>
      </c>
    </row>
    <row r="345">
      <c r="A345" s="5" t="inlineStr">
        <is>
          <t>multilingual_edge_001</t>
        </is>
      </c>
      <c r="B345" s="5" t="n">
        <v>3</v>
      </c>
      <c r="C345" s="5" t="inlineStr">
        <is>
          <t>multilingual_edge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20.98</v>
      </c>
    </row>
    <row r="346">
      <c r="A346" s="5" t="inlineStr">
        <is>
          <t>multilingual_edge_001</t>
        </is>
      </c>
      <c r="B346" s="5" t="n">
        <v>3</v>
      </c>
      <c r="C346" s="5" t="inlineStr">
        <is>
          <t>multilingual_edge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16.08</v>
      </c>
    </row>
    <row r="347">
      <c r="A347" s="5" t="inlineStr">
        <is>
          <t>multilingual_edge_002</t>
        </is>
      </c>
      <c r="B347" s="5" t="n">
        <v>3</v>
      </c>
      <c r="C347" s="5" t="inlineStr">
        <is>
          <t>multilingual_edge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single_kg2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15.7</v>
      </c>
    </row>
    <row r="348">
      <c r="A348" s="5" t="inlineStr">
        <is>
          <t>multilingual_edge_002</t>
        </is>
      </c>
      <c r="B348" s="5" t="n">
        <v>3</v>
      </c>
      <c r="C348" s="5" t="inlineStr">
        <is>
          <t>multilingual_edge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single_kg2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17.64</v>
      </c>
    </row>
    <row r="349">
      <c r="A349" s="5" t="inlineStr">
        <is>
          <t>multilingual_edge_002</t>
        </is>
      </c>
      <c r="B349" s="5" t="n">
        <v>3</v>
      </c>
      <c r="C349" s="5" t="inlineStr">
        <is>
          <t>multilingual_edge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single_kg2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16.31</v>
      </c>
    </row>
    <row r="350">
      <c r="A350" s="5" t="inlineStr">
        <is>
          <t>multilingual_edge_003</t>
        </is>
      </c>
      <c r="B350" s="5" t="n">
        <v>3</v>
      </c>
      <c r="C350" s="5" t="inlineStr">
        <is>
          <t>multilingual_edge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ask_query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5.97</v>
      </c>
    </row>
    <row r="351">
      <c r="A351" s="5" t="inlineStr">
        <is>
          <t>multilingual_edge_003</t>
        </is>
      </c>
      <c r="B351" s="5" t="n">
        <v>3</v>
      </c>
      <c r="C351" s="5" t="inlineStr">
        <is>
          <t>multilingual_edge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ask_query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7.16</v>
      </c>
    </row>
    <row r="352">
      <c r="A352" s="5" t="inlineStr">
        <is>
          <t>multilingual_edge_003</t>
        </is>
      </c>
      <c r="B352" s="5" t="n">
        <v>3</v>
      </c>
      <c r="C352" s="5" t="inlineStr">
        <is>
          <t>multilingual_edge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ask_query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4.63</v>
      </c>
    </row>
    <row r="353">
      <c r="A353" s="5" t="inlineStr">
        <is>
          <t>multilingual_edge_004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15.87</v>
      </c>
    </row>
    <row r="354">
      <c r="A354" s="5" t="inlineStr">
        <is>
          <t>multilingual_edge_004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17.87</v>
      </c>
    </row>
    <row r="355">
      <c r="A355" s="5" t="inlineStr">
        <is>
          <t>multilingual_edge_004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16.18</v>
      </c>
    </row>
    <row r="356">
      <c r="A356" s="5" t="inlineStr">
        <is>
          <t>property_ambiguity_001</t>
        </is>
      </c>
      <c r="B356" s="5" t="n">
        <v>3</v>
      </c>
      <c r="C356" s="5" t="inlineStr">
        <is>
          <t>property_ambiguity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12.49</v>
      </c>
    </row>
    <row r="357">
      <c r="A357" s="5" t="inlineStr">
        <is>
          <t>property_ambiguity_001</t>
        </is>
      </c>
      <c r="B357" s="5" t="n">
        <v>3</v>
      </c>
      <c r="C357" s="5" t="inlineStr">
        <is>
          <t>property_ambiguity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12.5</v>
      </c>
    </row>
    <row r="358">
      <c r="A358" s="5" t="inlineStr">
        <is>
          <t>property_ambiguity_001</t>
        </is>
      </c>
      <c r="B358" s="5" t="n">
        <v>3</v>
      </c>
      <c r="C358" s="5" t="inlineStr">
        <is>
          <t>property_ambiguity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12.16</v>
      </c>
    </row>
    <row r="359">
      <c r="A359" s="5" t="inlineStr">
        <is>
          <t>property_ambiguity_002</t>
        </is>
      </c>
      <c r="B359" s="5" t="n">
        <v>3</v>
      </c>
      <c r="C359" s="5" t="inlineStr">
        <is>
          <t>property_ambiguity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single_kg3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11.27</v>
      </c>
    </row>
    <row r="360">
      <c r="A360" s="5" t="inlineStr">
        <is>
          <t>property_ambiguity_002</t>
        </is>
      </c>
      <c r="B360" s="5" t="n">
        <v>3</v>
      </c>
      <c r="C360" s="5" t="inlineStr">
        <is>
          <t>property_ambiguity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single_kg3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11.81</v>
      </c>
    </row>
    <row r="361">
      <c r="A361" s="5" t="inlineStr">
        <is>
          <t>property_ambiguity_002</t>
        </is>
      </c>
      <c r="B361" s="5" t="n">
        <v>3</v>
      </c>
      <c r="C361" s="5" t="inlineStr">
        <is>
          <t>property_ambiguity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single_kg3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11.9</v>
      </c>
    </row>
    <row r="362">
      <c r="A362" s="5" t="inlineStr">
        <is>
          <t>property_ambiguity_003</t>
        </is>
      </c>
      <c r="B362" s="5" t="n">
        <v>3</v>
      </c>
      <c r="C362" s="5" t="inlineStr">
        <is>
          <t>property_ambiguity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single_kg3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11.96</v>
      </c>
    </row>
    <row r="363">
      <c r="A363" s="5" t="inlineStr">
        <is>
          <t>property_ambiguity_003</t>
        </is>
      </c>
      <c r="B363" s="5" t="n">
        <v>3</v>
      </c>
      <c r="C363" s="5" t="inlineStr">
        <is>
          <t>property_ambiguity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single_kg3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12.83</v>
      </c>
    </row>
    <row r="364">
      <c r="A364" s="5" t="inlineStr">
        <is>
          <t>property_ambiguity_003</t>
        </is>
      </c>
      <c r="B364" s="5" t="n">
        <v>3</v>
      </c>
      <c r="C364" s="5" t="inlineStr">
        <is>
          <t>property_ambiguity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template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0</v>
      </c>
      <c r="N364" s="5" t="n">
        <v>0</v>
      </c>
      <c r="O364" s="5" t="n">
        <v>9.48</v>
      </c>
    </row>
    <row r="365">
      <c r="A365" s="5" t="inlineStr">
        <is>
          <t>property_ambiguity_004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template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0</v>
      </c>
      <c r="N365" s="5" t="n">
        <v>0</v>
      </c>
      <c r="O365" s="5" t="n">
        <v>7.16</v>
      </c>
    </row>
    <row r="366">
      <c r="A366" s="5" t="inlineStr">
        <is>
          <t>property_ambiguity_004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no_results</t>
        </is>
      </c>
      <c r="L366" s="5" t="n"/>
      <c r="M366" s="5" t="n">
        <v>0</v>
      </c>
      <c r="N366" s="5" t="n">
        <v>0</v>
      </c>
      <c r="O366" s="5" t="n">
        <v>11.76</v>
      </c>
    </row>
    <row r="367">
      <c r="A367" s="5" t="inlineStr">
        <is>
          <t>property_ambiguity_004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11.15</v>
      </c>
    </row>
    <row r="368">
      <c r="A368" s="5" t="inlineStr">
        <is>
          <t>single_kg1_010</t>
        </is>
      </c>
      <c r="B368" s="5" t="n">
        <v>1</v>
      </c>
      <c r="C368" s="5" t="inlineStr">
        <is>
          <t>single_kg1</t>
        </is>
      </c>
      <c r="D368" s="5" t="inlineStr">
        <is>
          <t>flights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single_kg1</t>
        </is>
      </c>
      <c r="H368" s="5" t="inlineStr">
        <is>
          <t>single_kg1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19.48</v>
      </c>
    </row>
    <row r="369">
      <c r="A369" s="5" t="inlineStr">
        <is>
          <t>single_kg1_010</t>
        </is>
      </c>
      <c r="B369" s="5" t="n">
        <v>1</v>
      </c>
      <c r="C369" s="5" t="inlineStr">
        <is>
          <t>single_kg1</t>
        </is>
      </c>
      <c r="D369" s="5" t="inlineStr">
        <is>
          <t>flights</t>
        </is>
      </c>
      <c r="E369" s="5" t="inlineStr">
        <is>
          <t>en</t>
        </is>
      </c>
      <c r="F369" s="5" t="inlineStr">
        <is>
          <t>few-shot</t>
        </is>
      </c>
      <c r="G369" s="5" t="inlineStr">
        <is>
          <t>single_kg1</t>
        </is>
      </c>
      <c r="H369" s="5" t="inlineStr">
        <is>
          <t>single_kg1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14.86</v>
      </c>
    </row>
    <row r="370">
      <c r="A370" s="5" t="inlineStr">
        <is>
          <t>single_kg1_010</t>
        </is>
      </c>
      <c r="B370" s="5" t="n">
        <v>1</v>
      </c>
      <c r="C370" s="5" t="inlineStr">
        <is>
          <t>single_kg1</t>
        </is>
      </c>
      <c r="D370" s="5" t="inlineStr">
        <is>
          <t>flights</t>
        </is>
      </c>
      <c r="E370" s="5" t="inlineStr">
        <is>
          <t>en</t>
        </is>
      </c>
      <c r="F370" s="5" t="inlineStr">
        <is>
          <t>cot</t>
        </is>
      </c>
      <c r="G370" s="5" t="inlineStr">
        <is>
          <t>single_kg1</t>
        </is>
      </c>
      <c r="H370" s="5" t="inlineStr">
        <is>
          <t>single_kg1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15.31</v>
      </c>
    </row>
    <row r="371">
      <c r="A371" s="5" t="inlineStr">
        <is>
          <t>single_kg1_010</t>
        </is>
      </c>
      <c r="B371" s="5" t="n">
        <v>1</v>
      </c>
      <c r="C371" s="5" t="inlineStr">
        <is>
          <t>single_kg1</t>
        </is>
      </c>
      <c r="D371" s="5" t="inlineStr">
        <is>
          <t>flights</t>
        </is>
      </c>
      <c r="E371" s="5" t="inlineStr">
        <is>
          <t>fr</t>
        </is>
      </c>
      <c r="F371" s="5" t="inlineStr">
        <is>
          <t>zero-shot</t>
        </is>
      </c>
      <c r="G371" s="5" t="inlineStr">
        <is>
          <t>single_kg1</t>
        </is>
      </c>
      <c r="H371" s="5" t="inlineStr">
        <is>
          <t>single_kg1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17.13</v>
      </c>
    </row>
    <row r="372">
      <c r="A372" s="5" t="inlineStr">
        <is>
          <t>single_kg1_010</t>
        </is>
      </c>
      <c r="B372" s="5" t="n">
        <v>1</v>
      </c>
      <c r="C372" s="5" t="inlineStr">
        <is>
          <t>single_kg1</t>
        </is>
      </c>
      <c r="D372" s="5" t="inlineStr">
        <is>
          <t>flights</t>
        </is>
      </c>
      <c r="E372" s="5" t="inlineStr">
        <is>
          <t>fr</t>
        </is>
      </c>
      <c r="F372" s="5" t="inlineStr">
        <is>
          <t>few-shot</t>
        </is>
      </c>
      <c r="G372" s="5" t="inlineStr">
        <is>
          <t>single_kg1</t>
        </is>
      </c>
      <c r="H372" s="5" t="inlineStr">
        <is>
          <t>single_kg1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16.79</v>
      </c>
    </row>
    <row r="373">
      <c r="A373" s="5" t="inlineStr">
        <is>
          <t>single_kg1_010</t>
        </is>
      </c>
      <c r="B373" s="5" t="n">
        <v>1</v>
      </c>
      <c r="C373" s="5" t="inlineStr">
        <is>
          <t>single_kg1</t>
        </is>
      </c>
      <c r="D373" s="5" t="inlineStr">
        <is>
          <t>flights</t>
        </is>
      </c>
      <c r="E373" s="5" t="inlineStr">
        <is>
          <t>fr</t>
        </is>
      </c>
      <c r="F373" s="5" t="inlineStr">
        <is>
          <t>cot</t>
        </is>
      </c>
      <c r="G373" s="5" t="inlineStr">
        <is>
          <t>single_kg1</t>
        </is>
      </c>
      <c r="H373" s="5" t="inlineStr">
        <is>
          <t>single_kg1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17.53</v>
      </c>
    </row>
    <row r="374">
      <c r="A374" s="5" t="inlineStr">
        <is>
          <t>single_kg1_010</t>
        </is>
      </c>
      <c r="B374" s="5" t="n">
        <v>1</v>
      </c>
      <c r="C374" s="5" t="inlineStr">
        <is>
          <t>single_kg1</t>
        </is>
      </c>
      <c r="D374" s="5" t="inlineStr">
        <is>
          <t>flights</t>
        </is>
      </c>
      <c r="E374" s="5" t="inlineStr">
        <is>
          <t>ar</t>
        </is>
      </c>
      <c r="F374" s="5" t="inlineStr">
        <is>
          <t>zero-shot</t>
        </is>
      </c>
      <c r="G374" s="5" t="inlineStr">
        <is>
          <t>single_kg1</t>
        </is>
      </c>
      <c r="H374" s="5" t="inlineStr">
        <is>
          <t>single_kg1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15.49</v>
      </c>
    </row>
    <row r="375">
      <c r="A375" s="5" t="inlineStr">
        <is>
          <t>single_kg1_010</t>
        </is>
      </c>
      <c r="B375" s="5" t="n">
        <v>1</v>
      </c>
      <c r="C375" s="5" t="inlineStr">
        <is>
          <t>single_kg1</t>
        </is>
      </c>
      <c r="D375" s="5" t="inlineStr">
        <is>
          <t>flights</t>
        </is>
      </c>
      <c r="E375" s="5" t="inlineStr">
        <is>
          <t>ar</t>
        </is>
      </c>
      <c r="F375" s="5" t="inlineStr">
        <is>
          <t>few-shot</t>
        </is>
      </c>
      <c r="G375" s="5" t="inlineStr">
        <is>
          <t>single_kg1</t>
        </is>
      </c>
      <c r="H375" s="5" t="inlineStr">
        <is>
          <t>single_kg1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15.6</v>
      </c>
    </row>
    <row r="376">
      <c r="A376" s="5" t="inlineStr">
        <is>
          <t>single_kg1_010</t>
        </is>
      </c>
      <c r="B376" s="5" t="n">
        <v>1</v>
      </c>
      <c r="C376" s="5" t="inlineStr">
        <is>
          <t>single_kg1</t>
        </is>
      </c>
      <c r="D376" s="5" t="inlineStr">
        <is>
          <t>flights</t>
        </is>
      </c>
      <c r="E376" s="5" t="inlineStr">
        <is>
          <t>ar</t>
        </is>
      </c>
      <c r="F376" s="5" t="inlineStr">
        <is>
          <t>cot</t>
        </is>
      </c>
      <c r="G376" s="5" t="inlineStr">
        <is>
          <t>single_kg1</t>
        </is>
      </c>
      <c r="H376" s="5" t="inlineStr">
        <is>
          <t>single_kg1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16.68</v>
      </c>
    </row>
    <row r="377">
      <c r="A377" s="5" t="inlineStr">
        <is>
          <t>single_kg1_011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en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23.81</v>
      </c>
    </row>
    <row r="378">
      <c r="A378" s="5" t="inlineStr">
        <is>
          <t>single_kg1_011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en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20.21</v>
      </c>
    </row>
    <row r="379">
      <c r="A379" s="5" t="inlineStr">
        <is>
          <t>single_kg1_011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en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21</v>
      </c>
    </row>
    <row r="380">
      <c r="A380" s="5" t="inlineStr">
        <is>
          <t>single_kg1_011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fr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25.48</v>
      </c>
    </row>
    <row r="381">
      <c r="A381" s="5" t="inlineStr">
        <is>
          <t>single_kg1_011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fr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21.81</v>
      </c>
    </row>
    <row r="382">
      <c r="A382" s="5" t="inlineStr">
        <is>
          <t>single_kg1_011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fr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22.58</v>
      </c>
    </row>
    <row r="383">
      <c r="A383" s="5" t="inlineStr">
        <is>
          <t>single_kg1_011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ar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24.18</v>
      </c>
    </row>
    <row r="384">
      <c r="A384" s="5" t="inlineStr">
        <is>
          <t>single_kg1_011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ar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0</v>
      </c>
      <c r="K384" s="5" t="inlineStr">
        <is>
          <t>mapping_failure</t>
        </is>
      </c>
      <c r="L384" s="5" t="n"/>
      <c r="M384" s="5" t="n">
        <v>0</v>
      </c>
      <c r="N384" s="5" t="n">
        <v>0</v>
      </c>
      <c r="O384" s="5" t="n">
        <v>2.65</v>
      </c>
    </row>
    <row r="385">
      <c r="A385" s="5" t="inlineStr">
        <is>
          <t>single_kg1_011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ar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0</v>
      </c>
      <c r="K385" s="5" t="inlineStr">
        <is>
          <t>mapping_failure</t>
        </is>
      </c>
      <c r="L385" s="5" t="n"/>
      <c r="M385" s="5" t="n">
        <v>0</v>
      </c>
      <c r="N385" s="5" t="n">
        <v>0</v>
      </c>
      <c r="O385" s="5" t="n">
        <v>2.94</v>
      </c>
    </row>
    <row r="386">
      <c r="A386" s="5" t="inlineStr">
        <is>
          <t>single_kg1_012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en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24.31</v>
      </c>
    </row>
    <row r="387">
      <c r="A387" s="5" t="inlineStr">
        <is>
          <t>single_kg1_012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en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18.9</v>
      </c>
    </row>
    <row r="388">
      <c r="A388" s="5" t="inlineStr">
        <is>
          <t>single_kg1_012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en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20</v>
      </c>
    </row>
    <row r="389">
      <c r="A389" s="5" t="inlineStr">
        <is>
          <t>single_kg1_012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fr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20.88</v>
      </c>
    </row>
    <row r="390">
      <c r="A390" s="5" t="inlineStr">
        <is>
          <t>single_kg1_012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fr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21.97</v>
      </c>
    </row>
    <row r="391">
      <c r="A391" s="5" t="inlineStr">
        <is>
          <t>single_kg1_012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fr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23.21</v>
      </c>
    </row>
    <row r="392">
      <c r="A392" s="5" t="inlineStr">
        <is>
          <t>single_kg1_012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ar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20.83</v>
      </c>
    </row>
    <row r="393">
      <c r="A393" s="5" t="inlineStr">
        <is>
          <t>single_kg1_012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ar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21.2</v>
      </c>
    </row>
    <row r="394">
      <c r="A394" s="5" t="inlineStr">
        <is>
          <t>single_kg1_012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ar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22.22</v>
      </c>
    </row>
    <row r="395">
      <c r="A395" s="5" t="inlineStr">
        <is>
          <t>single_kg1_013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en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15.89</v>
      </c>
    </row>
    <row r="396">
      <c r="A396" s="5" t="inlineStr">
        <is>
          <t>single_kg1_013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en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13.72</v>
      </c>
    </row>
    <row r="397">
      <c r="A397" s="5" t="inlineStr">
        <is>
          <t>single_kg1_013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en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14.87</v>
      </c>
    </row>
    <row r="398">
      <c r="A398" s="5" t="inlineStr">
        <is>
          <t>single_kg1_013</t>
        </is>
      </c>
      <c r="B398" s="5" t="n">
        <v>1</v>
      </c>
      <c r="C398" s="5" t="inlineStr">
        <is>
          <t>single_kg1</t>
        </is>
      </c>
      <c r="D398" s="5" t="inlineStr">
        <is>
          <t>flights</t>
        </is>
      </c>
      <c r="E398" s="5" t="inlineStr">
        <is>
          <t>fr</t>
        </is>
      </c>
      <c r="F398" s="5" t="inlineStr">
        <is>
          <t>zero-shot</t>
        </is>
      </c>
      <c r="G398" s="5" t="inlineStr">
        <is>
          <t>single_kg1</t>
        </is>
      </c>
      <c r="H398" s="5" t="inlineStr">
        <is>
          <t>single_kg1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15.16</v>
      </c>
    </row>
    <row r="399">
      <c r="A399" s="5" t="inlineStr">
        <is>
          <t>single_kg1_013</t>
        </is>
      </c>
      <c r="B399" s="5" t="n">
        <v>1</v>
      </c>
      <c r="C399" s="5" t="inlineStr">
        <is>
          <t>single_kg1</t>
        </is>
      </c>
      <c r="D399" s="5" t="inlineStr">
        <is>
          <t>flights</t>
        </is>
      </c>
      <c r="E399" s="5" t="inlineStr">
        <is>
          <t>fr</t>
        </is>
      </c>
      <c r="F399" s="5" t="inlineStr">
        <is>
          <t>few-shot</t>
        </is>
      </c>
      <c r="G399" s="5" t="inlineStr">
        <is>
          <t>single_kg1</t>
        </is>
      </c>
      <c r="H399" s="5" t="inlineStr">
        <is>
          <t>single_kg1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13.59</v>
      </c>
    </row>
    <row r="400">
      <c r="A400" s="5" t="inlineStr">
        <is>
          <t>single_kg1_013</t>
        </is>
      </c>
      <c r="B400" s="5" t="n">
        <v>1</v>
      </c>
      <c r="C400" s="5" t="inlineStr">
        <is>
          <t>single_kg1</t>
        </is>
      </c>
      <c r="D400" s="5" t="inlineStr">
        <is>
          <t>flights</t>
        </is>
      </c>
      <c r="E400" s="5" t="inlineStr">
        <is>
          <t>fr</t>
        </is>
      </c>
      <c r="F400" s="5" t="inlineStr">
        <is>
          <t>cot</t>
        </is>
      </c>
      <c r="G400" s="5" t="inlineStr">
        <is>
          <t>single_kg1</t>
        </is>
      </c>
      <c r="H400" s="5" t="inlineStr">
        <is>
          <t>single_kg1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14.55</v>
      </c>
    </row>
    <row r="401">
      <c r="A401" s="5" t="inlineStr">
        <is>
          <t>single_kg1_013</t>
        </is>
      </c>
      <c r="B401" s="5" t="n">
        <v>1</v>
      </c>
      <c r="C401" s="5" t="inlineStr">
        <is>
          <t>single_kg1</t>
        </is>
      </c>
      <c r="D401" s="5" t="inlineStr">
        <is>
          <t>flights</t>
        </is>
      </c>
      <c r="E401" s="5" t="inlineStr">
        <is>
          <t>ar</t>
        </is>
      </c>
      <c r="F401" s="5" t="inlineStr">
        <is>
          <t>zero-shot</t>
        </is>
      </c>
      <c r="G401" s="5" t="inlineStr">
        <is>
          <t>single_kg1</t>
        </is>
      </c>
      <c r="H401" s="5" t="inlineStr">
        <is>
          <t>single_kg1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18.6</v>
      </c>
    </row>
    <row r="402">
      <c r="A402" s="5" t="inlineStr">
        <is>
          <t>single_kg1_013</t>
        </is>
      </c>
      <c r="B402" s="5" t="n">
        <v>1</v>
      </c>
      <c r="C402" s="5" t="inlineStr">
        <is>
          <t>single_kg1</t>
        </is>
      </c>
      <c r="D402" s="5" t="inlineStr">
        <is>
          <t>flights</t>
        </is>
      </c>
      <c r="E402" s="5" t="inlineStr">
        <is>
          <t>ar</t>
        </is>
      </c>
      <c r="F402" s="5" t="inlineStr">
        <is>
          <t>few-shot</t>
        </is>
      </c>
      <c r="G402" s="5" t="inlineStr">
        <is>
          <t>single_kg1</t>
        </is>
      </c>
      <c r="H402" s="5" t="inlineStr">
        <is>
          <t>single_kg1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17.01</v>
      </c>
    </row>
    <row r="403">
      <c r="A403" s="5" t="inlineStr">
        <is>
          <t>single_kg1_013</t>
        </is>
      </c>
      <c r="B403" s="5" t="n">
        <v>1</v>
      </c>
      <c r="C403" s="5" t="inlineStr">
        <is>
          <t>single_kg1</t>
        </is>
      </c>
      <c r="D403" s="5" t="inlineStr">
        <is>
          <t>flights</t>
        </is>
      </c>
      <c r="E403" s="5" t="inlineStr">
        <is>
          <t>ar</t>
        </is>
      </c>
      <c r="F403" s="5" t="inlineStr">
        <is>
          <t>cot</t>
        </is>
      </c>
      <c r="G403" s="5" t="inlineStr">
        <is>
          <t>single_kg1</t>
        </is>
      </c>
      <c r="H403" s="5" t="inlineStr">
        <is>
          <t>single_kg1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17.62</v>
      </c>
    </row>
    <row r="404">
      <c r="A404" s="5" t="inlineStr">
        <is>
          <t>single_kg2_010</t>
        </is>
      </c>
      <c r="B404" s="5" t="n">
        <v>1</v>
      </c>
      <c r="C404" s="5" t="inlineStr">
        <is>
          <t>single_kg2</t>
        </is>
      </c>
      <c r="D404" s="5" t="inlineStr">
        <is>
          <t>airports</t>
        </is>
      </c>
      <c r="E404" s="5" t="inlineStr">
        <is>
          <t>en</t>
        </is>
      </c>
      <c r="F404" s="5" t="inlineStr">
        <is>
          <t>zero-shot</t>
        </is>
      </c>
      <c r="G404" s="5" t="inlineStr">
        <is>
          <t>single_kg2</t>
        </is>
      </c>
      <c r="H404" s="5" t="inlineStr">
        <is>
          <t>single_kg2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27.41</v>
      </c>
    </row>
    <row r="405">
      <c r="A405" s="5" t="inlineStr">
        <is>
          <t>single_kg2_010</t>
        </is>
      </c>
      <c r="B405" s="5" t="n">
        <v>1</v>
      </c>
      <c r="C405" s="5" t="inlineStr">
        <is>
          <t>single_kg2</t>
        </is>
      </c>
      <c r="D405" s="5" t="inlineStr">
        <is>
          <t>airports</t>
        </is>
      </c>
      <c r="E405" s="5" t="inlineStr">
        <is>
          <t>en</t>
        </is>
      </c>
      <c r="F405" s="5" t="inlineStr">
        <is>
          <t>few-shot</t>
        </is>
      </c>
      <c r="G405" s="5" t="inlineStr">
        <is>
          <t>single_kg2</t>
        </is>
      </c>
      <c r="H405" s="5" t="inlineStr">
        <is>
          <t>single_kg2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19.71</v>
      </c>
    </row>
    <row r="406">
      <c r="A406" s="5" t="inlineStr">
        <is>
          <t>single_kg2_010</t>
        </is>
      </c>
      <c r="B406" s="5" t="n">
        <v>1</v>
      </c>
      <c r="C406" s="5" t="inlineStr">
        <is>
          <t>single_kg2</t>
        </is>
      </c>
      <c r="D406" s="5" t="inlineStr">
        <is>
          <t>airports</t>
        </is>
      </c>
      <c r="E406" s="5" t="inlineStr">
        <is>
          <t>en</t>
        </is>
      </c>
      <c r="F406" s="5" t="inlineStr">
        <is>
          <t>cot</t>
        </is>
      </c>
      <c r="G406" s="5" t="inlineStr">
        <is>
          <t>single_kg2</t>
        </is>
      </c>
      <c r="H406" s="5" t="inlineStr">
        <is>
          <t>single_kg2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20.7</v>
      </c>
    </row>
    <row r="407">
      <c r="A407" s="5" t="inlineStr">
        <is>
          <t>single_kg2_010</t>
        </is>
      </c>
      <c r="B407" s="5" t="n">
        <v>1</v>
      </c>
      <c r="C407" s="5" t="inlineStr">
        <is>
          <t>single_kg2</t>
        </is>
      </c>
      <c r="D407" s="5" t="inlineStr">
        <is>
          <t>airports</t>
        </is>
      </c>
      <c r="E407" s="5" t="inlineStr">
        <is>
          <t>fr</t>
        </is>
      </c>
      <c r="F407" s="5" t="inlineStr">
        <is>
          <t>zero-shot</t>
        </is>
      </c>
      <c r="G407" s="5" t="inlineStr">
        <is>
          <t>single_kg2</t>
        </is>
      </c>
      <c r="H407" s="5" t="inlineStr">
        <is>
          <t>single_kg2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22.66</v>
      </c>
    </row>
    <row r="408">
      <c r="A408" s="5" t="inlineStr">
        <is>
          <t>single_kg2_010</t>
        </is>
      </c>
      <c r="B408" s="5" t="n">
        <v>1</v>
      </c>
      <c r="C408" s="5" t="inlineStr">
        <is>
          <t>single_kg2</t>
        </is>
      </c>
      <c r="D408" s="5" t="inlineStr">
        <is>
          <t>airports</t>
        </is>
      </c>
      <c r="E408" s="5" t="inlineStr">
        <is>
          <t>fr</t>
        </is>
      </c>
      <c r="F408" s="5" t="inlineStr">
        <is>
          <t>few-shot</t>
        </is>
      </c>
      <c r="G408" s="5" t="inlineStr">
        <is>
          <t>single_kg2</t>
        </is>
      </c>
      <c r="H408" s="5" t="inlineStr">
        <is>
          <t>single_kg2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24.08</v>
      </c>
    </row>
    <row r="409">
      <c r="A409" s="5" t="inlineStr">
        <is>
          <t>single_kg2_010</t>
        </is>
      </c>
      <c r="B409" s="5" t="n">
        <v>1</v>
      </c>
      <c r="C409" s="5" t="inlineStr">
        <is>
          <t>single_kg2</t>
        </is>
      </c>
      <c r="D409" s="5" t="inlineStr">
        <is>
          <t>airports</t>
        </is>
      </c>
      <c r="E409" s="5" t="inlineStr">
        <is>
          <t>fr</t>
        </is>
      </c>
      <c r="F409" s="5" t="inlineStr">
        <is>
          <t>cot</t>
        </is>
      </c>
      <c r="G409" s="5" t="inlineStr">
        <is>
          <t>single_kg2</t>
        </is>
      </c>
      <c r="H409" s="5" t="inlineStr">
        <is>
          <t>single_kg2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24.67</v>
      </c>
    </row>
    <row r="410">
      <c r="A410" s="5" t="inlineStr">
        <is>
          <t>single_kg2_010</t>
        </is>
      </c>
      <c r="B410" s="5" t="n">
        <v>1</v>
      </c>
      <c r="C410" s="5" t="inlineStr">
        <is>
          <t>single_kg2</t>
        </is>
      </c>
      <c r="D410" s="5" t="inlineStr">
        <is>
          <t>airports</t>
        </is>
      </c>
      <c r="E410" s="5" t="inlineStr">
        <is>
          <t>ar</t>
        </is>
      </c>
      <c r="F410" s="5" t="inlineStr">
        <is>
          <t>zero-shot</t>
        </is>
      </c>
      <c r="G410" s="5" t="inlineStr">
        <is>
          <t>single_kg2</t>
        </is>
      </c>
      <c r="H410" s="5" t="inlineStr">
        <is>
          <t>single_kg2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21.72</v>
      </c>
    </row>
    <row r="411">
      <c r="A411" s="5" t="inlineStr">
        <is>
          <t>single_kg2_010</t>
        </is>
      </c>
      <c r="B411" s="5" t="n">
        <v>1</v>
      </c>
      <c r="C411" s="5" t="inlineStr">
        <is>
          <t>single_kg2</t>
        </is>
      </c>
      <c r="D411" s="5" t="inlineStr">
        <is>
          <t>airports</t>
        </is>
      </c>
      <c r="E411" s="5" t="inlineStr">
        <is>
          <t>ar</t>
        </is>
      </c>
      <c r="F411" s="5" t="inlineStr">
        <is>
          <t>few-shot</t>
        </is>
      </c>
      <c r="G411" s="5" t="inlineStr">
        <is>
          <t>single_kg2</t>
        </is>
      </c>
      <c r="H411" s="5" t="inlineStr">
        <is>
          <t>single_kg2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23.2</v>
      </c>
    </row>
    <row r="412">
      <c r="A412" s="5" t="inlineStr">
        <is>
          <t>single_kg2_010</t>
        </is>
      </c>
      <c r="B412" s="5" t="n">
        <v>1</v>
      </c>
      <c r="C412" s="5" t="inlineStr">
        <is>
          <t>single_kg2</t>
        </is>
      </c>
      <c r="D412" s="5" t="inlineStr">
        <is>
          <t>airports</t>
        </is>
      </c>
      <c r="E412" s="5" t="inlineStr">
        <is>
          <t>ar</t>
        </is>
      </c>
      <c r="F412" s="5" t="inlineStr">
        <is>
          <t>cot</t>
        </is>
      </c>
      <c r="G412" s="5" t="inlineStr">
        <is>
          <t>single_kg2</t>
        </is>
      </c>
      <c r="H412" s="5" t="inlineStr">
        <is>
          <t>single_kg2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23.98</v>
      </c>
    </row>
    <row r="413">
      <c r="A413" s="5" t="inlineStr">
        <is>
          <t>single_kg2_011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en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19.44</v>
      </c>
    </row>
    <row r="414">
      <c r="A414" s="5" t="inlineStr">
        <is>
          <t>single_kg2_011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en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13.87</v>
      </c>
    </row>
    <row r="415">
      <c r="A415" s="5" t="inlineStr">
        <is>
          <t>single_kg2_011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en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14.96</v>
      </c>
    </row>
    <row r="416">
      <c r="A416" s="5" t="inlineStr">
        <is>
          <t>single_kg2_011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fr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23.22</v>
      </c>
    </row>
    <row r="417">
      <c r="A417" s="5" t="inlineStr">
        <is>
          <t>single_kg2_011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fr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16.73</v>
      </c>
    </row>
    <row r="418">
      <c r="A418" s="5" t="inlineStr">
        <is>
          <t>single_kg2_011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fr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17.29</v>
      </c>
    </row>
    <row r="419">
      <c r="A419" s="5" t="inlineStr">
        <is>
          <t>single_kg2_011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ar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18.76</v>
      </c>
    </row>
    <row r="420">
      <c r="A420" s="5" t="inlineStr">
        <is>
          <t>single_kg2_011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ar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16.15</v>
      </c>
    </row>
    <row r="421">
      <c r="A421" s="5" t="inlineStr">
        <is>
          <t>single_kg2_011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ar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16.76</v>
      </c>
    </row>
    <row r="422">
      <c r="A422" s="5" t="inlineStr">
        <is>
          <t>single_kg2_012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en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18.48</v>
      </c>
    </row>
    <row r="423">
      <c r="A423" s="5" t="inlineStr">
        <is>
          <t>single_kg2_012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en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13.67</v>
      </c>
    </row>
    <row r="424">
      <c r="A424" s="5" t="inlineStr">
        <is>
          <t>single_kg2_012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en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14.64</v>
      </c>
    </row>
    <row r="425">
      <c r="A425" s="5" t="inlineStr">
        <is>
          <t>single_kg2_012</t>
        </is>
      </c>
      <c r="B425" s="5" t="n">
        <v>1</v>
      </c>
      <c r="C425" s="5" t="inlineStr">
        <is>
          <t>single_kg2</t>
        </is>
      </c>
      <c r="D425" s="5" t="inlineStr">
        <is>
          <t>airports</t>
        </is>
      </c>
      <c r="E425" s="5" t="inlineStr">
        <is>
          <t>fr</t>
        </is>
      </c>
      <c r="F425" s="5" t="inlineStr">
        <is>
          <t>zero-shot</t>
        </is>
      </c>
      <c r="G425" s="5" t="inlineStr">
        <is>
          <t>single_kg2</t>
        </is>
      </c>
      <c r="H425" s="5" t="inlineStr">
        <is>
          <t>single_kg2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20.43</v>
      </c>
    </row>
    <row r="426">
      <c r="A426" s="5" t="inlineStr">
        <is>
          <t>single_kg2_012</t>
        </is>
      </c>
      <c r="B426" s="5" t="n">
        <v>1</v>
      </c>
      <c r="C426" s="5" t="inlineStr">
        <is>
          <t>single_kg2</t>
        </is>
      </c>
      <c r="D426" s="5" t="inlineStr">
        <is>
          <t>airports</t>
        </is>
      </c>
      <c r="E426" s="5" t="inlineStr">
        <is>
          <t>fr</t>
        </is>
      </c>
      <c r="F426" s="5" t="inlineStr">
        <is>
          <t>few-shot</t>
        </is>
      </c>
      <c r="G426" s="5" t="inlineStr">
        <is>
          <t>single_kg2</t>
        </is>
      </c>
      <c r="H426" s="5" t="inlineStr">
        <is>
          <t>single_kg2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16.32</v>
      </c>
    </row>
    <row r="427">
      <c r="A427" s="5" t="inlineStr">
        <is>
          <t>single_kg2_012</t>
        </is>
      </c>
      <c r="B427" s="5" t="n">
        <v>1</v>
      </c>
      <c r="C427" s="5" t="inlineStr">
        <is>
          <t>single_kg2</t>
        </is>
      </c>
      <c r="D427" s="5" t="inlineStr">
        <is>
          <t>airports</t>
        </is>
      </c>
      <c r="E427" s="5" t="inlineStr">
        <is>
          <t>fr</t>
        </is>
      </c>
      <c r="F427" s="5" t="inlineStr">
        <is>
          <t>cot</t>
        </is>
      </c>
      <c r="G427" s="5" t="inlineStr">
        <is>
          <t>single_kg2</t>
        </is>
      </c>
      <c r="H427" s="5" t="inlineStr">
        <is>
          <t>single_kg2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17.17</v>
      </c>
    </row>
    <row r="428">
      <c r="A428" s="5" t="inlineStr">
        <is>
          <t>single_kg2_012</t>
        </is>
      </c>
      <c r="B428" s="5" t="n">
        <v>1</v>
      </c>
      <c r="C428" s="5" t="inlineStr">
        <is>
          <t>single_kg2</t>
        </is>
      </c>
      <c r="D428" s="5" t="inlineStr">
        <is>
          <t>airports</t>
        </is>
      </c>
      <c r="E428" s="5" t="inlineStr">
        <is>
          <t>ar</t>
        </is>
      </c>
      <c r="F428" s="5" t="inlineStr">
        <is>
          <t>zero-shot</t>
        </is>
      </c>
      <c r="G428" s="5" t="inlineStr">
        <is>
          <t>single_kg2</t>
        </is>
      </c>
      <c r="H428" s="5" t="inlineStr">
        <is>
          <t>single_kg2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15.17</v>
      </c>
    </row>
    <row r="429">
      <c r="A429" s="5" t="inlineStr">
        <is>
          <t>single_kg2_012</t>
        </is>
      </c>
      <c r="B429" s="5" t="n">
        <v>1</v>
      </c>
      <c r="C429" s="5" t="inlineStr">
        <is>
          <t>single_kg2</t>
        </is>
      </c>
      <c r="D429" s="5" t="inlineStr">
        <is>
          <t>airports</t>
        </is>
      </c>
      <c r="E429" s="5" t="inlineStr">
        <is>
          <t>ar</t>
        </is>
      </c>
      <c r="F429" s="5" t="inlineStr">
        <is>
          <t>few-shot</t>
        </is>
      </c>
      <c r="G429" s="5" t="inlineStr">
        <is>
          <t>single_kg2</t>
        </is>
      </c>
      <c r="H429" s="5" t="inlineStr">
        <is>
          <t>single_kg2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15.89</v>
      </c>
    </row>
    <row r="430">
      <c r="A430" s="5" t="inlineStr">
        <is>
          <t>single_kg2_012</t>
        </is>
      </c>
      <c r="B430" s="5" t="n">
        <v>1</v>
      </c>
      <c r="C430" s="5" t="inlineStr">
        <is>
          <t>single_kg2</t>
        </is>
      </c>
      <c r="D430" s="5" t="inlineStr">
        <is>
          <t>airports</t>
        </is>
      </c>
      <c r="E430" s="5" t="inlineStr">
        <is>
          <t>ar</t>
        </is>
      </c>
      <c r="F430" s="5" t="inlineStr">
        <is>
          <t>cot</t>
        </is>
      </c>
      <c r="G430" s="5" t="inlineStr">
        <is>
          <t>single_kg2</t>
        </is>
      </c>
      <c r="H430" s="5" t="inlineStr">
        <is>
          <t>single_kg2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16.8</v>
      </c>
    </row>
    <row r="431">
      <c r="A431" s="5" t="inlineStr">
        <is>
          <t>single_kg3_005</t>
        </is>
      </c>
      <c r="B431" s="5" t="n">
        <v>1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en</t>
        </is>
      </c>
      <c r="F431" s="5" t="inlineStr">
        <is>
          <t>zero-shot</t>
        </is>
      </c>
      <c r="G431" s="5" t="inlineStr">
        <is>
          <t>single_kg3</t>
        </is>
      </c>
      <c r="H431" s="5" t="inlineStr">
        <is>
          <t>single_kg3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12.52</v>
      </c>
    </row>
    <row r="432">
      <c r="A432" s="5" t="inlineStr">
        <is>
          <t>single_kg3_005</t>
        </is>
      </c>
      <c r="B432" s="5" t="n">
        <v>1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en</t>
        </is>
      </c>
      <c r="F432" s="5" t="inlineStr">
        <is>
          <t>few-shot</t>
        </is>
      </c>
      <c r="G432" s="5" t="inlineStr">
        <is>
          <t>single_kg3</t>
        </is>
      </c>
      <c r="H432" s="5" t="inlineStr">
        <is>
          <t>single_kg3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10.37</v>
      </c>
    </row>
    <row r="433">
      <c r="A433" s="5" t="inlineStr">
        <is>
          <t>single_kg3_005</t>
        </is>
      </c>
      <c r="B433" s="5" t="n">
        <v>1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en</t>
        </is>
      </c>
      <c r="F433" s="5" t="inlineStr">
        <is>
          <t>cot</t>
        </is>
      </c>
      <c r="G433" s="5" t="inlineStr">
        <is>
          <t>single_kg3</t>
        </is>
      </c>
      <c r="H433" s="5" t="inlineStr">
        <is>
          <t>single_kg3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10.73</v>
      </c>
    </row>
    <row r="434">
      <c r="A434" s="5" t="inlineStr">
        <is>
          <t>single_kg3_005</t>
        </is>
      </c>
      <c r="B434" s="5" t="n">
        <v>1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fr</t>
        </is>
      </c>
      <c r="F434" s="5" t="inlineStr">
        <is>
          <t>zero-shot</t>
        </is>
      </c>
      <c r="G434" s="5" t="inlineStr">
        <is>
          <t>single_kg3</t>
        </is>
      </c>
      <c r="H434" s="5" t="inlineStr">
        <is>
          <t>single_kg3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11.78</v>
      </c>
    </row>
    <row r="435">
      <c r="A435" s="5" t="inlineStr">
        <is>
          <t>single_kg3_005</t>
        </is>
      </c>
      <c r="B435" s="5" t="n">
        <v>1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fr</t>
        </is>
      </c>
      <c r="F435" s="5" t="inlineStr">
        <is>
          <t>few-shot</t>
        </is>
      </c>
      <c r="G435" s="5" t="inlineStr">
        <is>
          <t>single_kg3</t>
        </is>
      </c>
      <c r="H435" s="5" t="inlineStr">
        <is>
          <t>single_kg3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12.67</v>
      </c>
    </row>
    <row r="436">
      <c r="A436" s="5" t="inlineStr">
        <is>
          <t>single_kg3_005</t>
        </is>
      </c>
      <c r="B436" s="5" t="n">
        <v>1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fr</t>
        </is>
      </c>
      <c r="F436" s="5" t="inlineStr">
        <is>
          <t>cot</t>
        </is>
      </c>
      <c r="G436" s="5" t="inlineStr">
        <is>
          <t>single_kg3</t>
        </is>
      </c>
      <c r="H436" s="5" t="inlineStr">
        <is>
          <t>single_kg3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12.99</v>
      </c>
    </row>
    <row r="437">
      <c r="A437" s="5" t="inlineStr">
        <is>
          <t>single_kg3_005</t>
        </is>
      </c>
      <c r="B437" s="5" t="n">
        <v>1</v>
      </c>
      <c r="C437" s="5" t="inlineStr">
        <is>
          <t>single_kg3</t>
        </is>
      </c>
      <c r="D437" s="5" t="inlineStr">
        <is>
          <t>university</t>
        </is>
      </c>
      <c r="E437" s="5" t="inlineStr">
        <is>
          <t>ar</t>
        </is>
      </c>
      <c r="F437" s="5" t="inlineStr">
        <is>
          <t>zero-shot</t>
        </is>
      </c>
      <c r="G437" s="5" t="inlineStr">
        <is>
          <t>single_kg3</t>
        </is>
      </c>
      <c r="H437" s="5" t="inlineStr">
        <is>
          <t>single_kg3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12.11</v>
      </c>
    </row>
    <row r="438">
      <c r="A438" s="5" t="inlineStr">
        <is>
          <t>single_kg3_005</t>
        </is>
      </c>
      <c r="B438" s="5" t="n">
        <v>1</v>
      </c>
      <c r="C438" s="5" t="inlineStr">
        <is>
          <t>single_kg3</t>
        </is>
      </c>
      <c r="D438" s="5" t="inlineStr">
        <is>
          <t>university</t>
        </is>
      </c>
      <c r="E438" s="5" t="inlineStr">
        <is>
          <t>ar</t>
        </is>
      </c>
      <c r="F438" s="5" t="inlineStr">
        <is>
          <t>few-shot</t>
        </is>
      </c>
      <c r="G438" s="5" t="inlineStr">
        <is>
          <t>single_kg3</t>
        </is>
      </c>
      <c r="H438" s="5" t="inlineStr">
        <is>
          <t>single_kg3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13.04</v>
      </c>
    </row>
    <row r="439">
      <c r="A439" s="5" t="inlineStr">
        <is>
          <t>single_kg3_005</t>
        </is>
      </c>
      <c r="B439" s="5" t="n">
        <v>1</v>
      </c>
      <c r="C439" s="5" t="inlineStr">
        <is>
          <t>single_kg3</t>
        </is>
      </c>
      <c r="D439" s="5" t="inlineStr">
        <is>
          <t>university</t>
        </is>
      </c>
      <c r="E439" s="5" t="inlineStr">
        <is>
          <t>ar</t>
        </is>
      </c>
      <c r="F439" s="5" t="inlineStr">
        <is>
          <t>cot</t>
        </is>
      </c>
      <c r="G439" s="5" t="inlineStr">
        <is>
          <t>single_kg3</t>
        </is>
      </c>
      <c r="H439" s="5" t="inlineStr">
        <is>
          <t>single_kg3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13.27</v>
      </c>
    </row>
    <row r="440">
      <c r="A440" s="5" t="inlineStr">
        <is>
          <t>single_kg3_006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18.26</v>
      </c>
    </row>
    <row r="441">
      <c r="A441" s="5" t="inlineStr">
        <is>
          <t>single_kg3_006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13.13</v>
      </c>
    </row>
    <row r="442">
      <c r="A442" s="5" t="inlineStr">
        <is>
          <t>single_kg3_006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13.53</v>
      </c>
    </row>
    <row r="443">
      <c r="A443" s="5" t="inlineStr">
        <is>
          <t>single_kg3_006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13.13</v>
      </c>
    </row>
    <row r="444">
      <c r="A444" s="5" t="inlineStr">
        <is>
          <t>single_kg3_006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14.33</v>
      </c>
    </row>
    <row r="445">
      <c r="A445" s="5" t="inlineStr">
        <is>
          <t>single_kg3_006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14.15</v>
      </c>
    </row>
    <row r="446">
      <c r="A446" s="5" t="inlineStr">
        <is>
          <t>single_kg3_006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13.31</v>
      </c>
    </row>
    <row r="447">
      <c r="A447" s="5" t="inlineStr">
        <is>
          <t>single_kg3_006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14.14</v>
      </c>
    </row>
    <row r="448">
      <c r="A448" s="5" t="inlineStr">
        <is>
          <t>single_kg3_006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14.31</v>
      </c>
    </row>
    <row r="449">
      <c r="A449" s="5" t="inlineStr">
        <is>
          <t>single_kg3_007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12.3</v>
      </c>
    </row>
    <row r="450">
      <c r="A450" s="5" t="inlineStr">
        <is>
          <t>single_kg3_007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10.45</v>
      </c>
    </row>
    <row r="451">
      <c r="A451" s="5" t="inlineStr">
        <is>
          <t>single_kg3_007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11</v>
      </c>
    </row>
    <row r="452">
      <c r="A452" s="5" t="inlineStr">
        <is>
          <t>single_kg3_007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12.52</v>
      </c>
    </row>
    <row r="453">
      <c r="A453" s="5" t="inlineStr">
        <is>
          <t>single_kg3_007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11.83</v>
      </c>
    </row>
    <row r="454">
      <c r="A454" s="5" t="inlineStr">
        <is>
          <t>single_kg3_007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11.77</v>
      </c>
    </row>
    <row r="455">
      <c r="A455" s="5" t="inlineStr">
        <is>
          <t>single_kg3_007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13.43</v>
      </c>
    </row>
    <row r="456">
      <c r="A456" s="5" t="inlineStr">
        <is>
          <t>single_kg3_007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12.52</v>
      </c>
    </row>
    <row r="457">
      <c r="A457" s="5" t="inlineStr">
        <is>
          <t>single_kg3_007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13.02</v>
      </c>
    </row>
    <row r="458">
      <c r="A458" s="5" t="inlineStr">
        <is>
          <t>single_kg3_008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0</v>
      </c>
      <c r="N458" s="5" t="n">
        <v>0.5</v>
      </c>
      <c r="O458" s="5" t="n">
        <v>11.5</v>
      </c>
    </row>
    <row r="459">
      <c r="A459" s="5" t="inlineStr">
        <is>
          <t>single_kg3_008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0</v>
      </c>
      <c r="N459" s="5" t="n">
        <v>0.5</v>
      </c>
      <c r="O459" s="5" t="n">
        <v>9.74</v>
      </c>
    </row>
    <row r="460">
      <c r="A460" s="5" t="inlineStr">
        <is>
          <t>single_kg3_008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0</v>
      </c>
      <c r="N460" s="5" t="n">
        <v>0.5</v>
      </c>
      <c r="O460" s="5" t="n">
        <v>10.2</v>
      </c>
    </row>
    <row r="461">
      <c r="A461" s="5" t="inlineStr">
        <is>
          <t>single_kg3_008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0</v>
      </c>
      <c r="N461" s="5" t="n">
        <v>0.5</v>
      </c>
      <c r="O461" s="5" t="n">
        <v>11.49</v>
      </c>
    </row>
    <row r="462">
      <c r="A462" s="5" t="inlineStr">
        <is>
          <t>single_kg3_008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0</v>
      </c>
      <c r="N462" s="5" t="n">
        <v>0.5</v>
      </c>
      <c r="O462" s="5" t="n">
        <v>10.99</v>
      </c>
    </row>
    <row r="463">
      <c r="A463" s="5" t="inlineStr">
        <is>
          <t>single_kg3_008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0</v>
      </c>
      <c r="N463" s="5" t="n">
        <v>0.5</v>
      </c>
      <c r="O463" s="5" t="n">
        <v>11.19</v>
      </c>
    </row>
    <row r="464">
      <c r="A464" s="5" t="inlineStr">
        <is>
          <t>single_kg3_008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0</v>
      </c>
      <c r="N464" s="5" t="n">
        <v>0.5</v>
      </c>
      <c r="O464" s="5" t="n">
        <v>12.34</v>
      </c>
    </row>
    <row r="465">
      <c r="A465" s="5" t="inlineStr">
        <is>
          <t>single_kg3_008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0</v>
      </c>
      <c r="N465" s="5" t="n">
        <v>0.5</v>
      </c>
      <c r="O465" s="5" t="n">
        <v>11.56</v>
      </c>
    </row>
    <row r="466">
      <c r="A466" s="5" t="inlineStr">
        <is>
          <t>single_kg3_008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0</v>
      </c>
      <c r="N466" s="5" t="n">
        <v>0.5</v>
      </c>
      <c r="O466" s="5" t="n">
        <v>11.62</v>
      </c>
    </row>
    <row r="467">
      <c r="A467" s="5" t="inlineStr">
        <is>
          <t>cross_kg_013</t>
        </is>
      </c>
      <c r="B467" s="5" t="n">
        <v>1</v>
      </c>
      <c r="C467" s="5" t="inlineStr">
        <is>
          <t>cross_kg</t>
        </is>
      </c>
      <c r="D467" s="5" t="inlineStr">
        <is>
          <t>cross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cross_kg</t>
        </is>
      </c>
      <c r="H467" s="5" t="inlineStr">
        <is>
          <t>cross_kg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24.38</v>
      </c>
    </row>
    <row r="468">
      <c r="A468" s="5" t="inlineStr">
        <is>
          <t>cross_kg_013</t>
        </is>
      </c>
      <c r="B468" s="5" t="n">
        <v>1</v>
      </c>
      <c r="C468" s="5" t="inlineStr">
        <is>
          <t>cross_kg</t>
        </is>
      </c>
      <c r="D468" s="5" t="inlineStr">
        <is>
          <t>cross</t>
        </is>
      </c>
      <c r="E468" s="5" t="inlineStr">
        <is>
          <t>en</t>
        </is>
      </c>
      <c r="F468" s="5" t="inlineStr">
        <is>
          <t>few-shot</t>
        </is>
      </c>
      <c r="G468" s="5" t="inlineStr">
        <is>
          <t>cross_kg</t>
        </is>
      </c>
      <c r="H468" s="5" t="inlineStr">
        <is>
          <t>cross_kg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15.73</v>
      </c>
    </row>
    <row r="469">
      <c r="A469" s="5" t="inlineStr">
        <is>
          <t>cross_kg_013</t>
        </is>
      </c>
      <c r="B469" s="5" t="n">
        <v>1</v>
      </c>
      <c r="C469" s="5" t="inlineStr">
        <is>
          <t>cross_kg</t>
        </is>
      </c>
      <c r="D469" s="5" t="inlineStr">
        <is>
          <t>cross</t>
        </is>
      </c>
      <c r="E469" s="5" t="inlineStr">
        <is>
          <t>en</t>
        </is>
      </c>
      <c r="F469" s="5" t="inlineStr">
        <is>
          <t>cot</t>
        </is>
      </c>
      <c r="G469" s="5" t="inlineStr">
        <is>
          <t>cross_kg</t>
        </is>
      </c>
      <c r="H469" s="5" t="inlineStr">
        <is>
          <t>cross_kg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16.17</v>
      </c>
    </row>
    <row r="470">
      <c r="A470" s="5" t="inlineStr">
        <is>
          <t>cross_kg_013</t>
        </is>
      </c>
      <c r="B470" s="5" t="n">
        <v>1</v>
      </c>
      <c r="C470" s="5" t="inlineStr">
        <is>
          <t>cross_kg</t>
        </is>
      </c>
      <c r="D470" s="5" t="inlineStr">
        <is>
          <t>cross</t>
        </is>
      </c>
      <c r="E470" s="5" t="inlineStr">
        <is>
          <t>fr</t>
        </is>
      </c>
      <c r="F470" s="5" t="inlineStr">
        <is>
          <t>zero-shot</t>
        </is>
      </c>
      <c r="G470" s="5" t="inlineStr">
        <is>
          <t>cross_kg</t>
        </is>
      </c>
      <c r="H470" s="5" t="inlineStr">
        <is>
          <t>cross_kg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1</v>
      </c>
      <c r="N470" s="5" t="n">
        <v>1</v>
      </c>
      <c r="O470" s="5" t="n">
        <v>21.25</v>
      </c>
    </row>
    <row r="471">
      <c r="A471" s="5" t="inlineStr">
        <is>
          <t>cross_kg_013</t>
        </is>
      </c>
      <c r="B471" s="5" t="n">
        <v>1</v>
      </c>
      <c r="C471" s="5" t="inlineStr">
        <is>
          <t>cross_kg</t>
        </is>
      </c>
      <c r="D471" s="5" t="inlineStr">
        <is>
          <t>cross</t>
        </is>
      </c>
      <c r="E471" s="5" t="inlineStr">
        <is>
          <t>fr</t>
        </is>
      </c>
      <c r="F471" s="5" t="inlineStr">
        <is>
          <t>few-shot</t>
        </is>
      </c>
      <c r="G471" s="5" t="inlineStr">
        <is>
          <t>cross_kg</t>
        </is>
      </c>
      <c r="H471" s="5" t="inlineStr">
        <is>
          <t>cross_kg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1</v>
      </c>
      <c r="N471" s="5" t="n">
        <v>1</v>
      </c>
      <c r="O471" s="5" t="n">
        <v>17.1</v>
      </c>
    </row>
    <row r="472">
      <c r="A472" s="5" t="inlineStr">
        <is>
          <t>cross_kg_013</t>
        </is>
      </c>
      <c r="B472" s="5" t="n">
        <v>1</v>
      </c>
      <c r="C472" s="5" t="inlineStr">
        <is>
          <t>cross_kg</t>
        </is>
      </c>
      <c r="D472" s="5" t="inlineStr">
        <is>
          <t>cross</t>
        </is>
      </c>
      <c r="E472" s="5" t="inlineStr">
        <is>
          <t>fr</t>
        </is>
      </c>
      <c r="F472" s="5" t="inlineStr">
        <is>
          <t>cot</t>
        </is>
      </c>
      <c r="G472" s="5" t="inlineStr">
        <is>
          <t>cross_kg</t>
        </is>
      </c>
      <c r="H472" s="5" t="inlineStr">
        <is>
          <t>cross_kg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1</v>
      </c>
      <c r="N472" s="5" t="n">
        <v>1</v>
      </c>
      <c r="O472" s="5" t="n">
        <v>17.42</v>
      </c>
    </row>
    <row r="473">
      <c r="A473" s="5" t="inlineStr">
        <is>
          <t>cross_kg_013</t>
        </is>
      </c>
      <c r="B473" s="5" t="n">
        <v>1</v>
      </c>
      <c r="C473" s="5" t="inlineStr">
        <is>
          <t>cross_kg</t>
        </is>
      </c>
      <c r="D473" s="5" t="inlineStr">
        <is>
          <t>cross</t>
        </is>
      </c>
      <c r="E473" s="5" t="inlineStr">
        <is>
          <t>ar</t>
        </is>
      </c>
      <c r="F473" s="5" t="inlineStr">
        <is>
          <t>zero-shot</t>
        </is>
      </c>
      <c r="G473" s="5" t="inlineStr">
        <is>
          <t>cross_kg</t>
        </is>
      </c>
      <c r="H473" s="5" t="inlineStr">
        <is>
          <t>cross_kg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17.65</v>
      </c>
    </row>
    <row r="474">
      <c r="A474" s="5" t="inlineStr">
        <is>
          <t>cross_kg_013</t>
        </is>
      </c>
      <c r="B474" s="5" t="n">
        <v>1</v>
      </c>
      <c r="C474" s="5" t="inlineStr">
        <is>
          <t>cross_kg</t>
        </is>
      </c>
      <c r="D474" s="5" t="inlineStr">
        <is>
          <t>cross</t>
        </is>
      </c>
      <c r="E474" s="5" t="inlineStr">
        <is>
          <t>ar</t>
        </is>
      </c>
      <c r="F474" s="5" t="inlineStr">
        <is>
          <t>few-shot</t>
        </is>
      </c>
      <c r="G474" s="5" t="inlineStr">
        <is>
          <t>cross_kg</t>
        </is>
      </c>
      <c r="H474" s="5" t="inlineStr">
        <is>
          <t>cross_kg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13.79</v>
      </c>
    </row>
    <row r="475">
      <c r="A475" s="5" t="inlineStr">
        <is>
          <t>cross_kg_013</t>
        </is>
      </c>
      <c r="B475" s="5" t="n">
        <v>1</v>
      </c>
      <c r="C475" s="5" t="inlineStr">
        <is>
          <t>cross_kg</t>
        </is>
      </c>
      <c r="D475" s="5" t="inlineStr">
        <is>
          <t>cross</t>
        </is>
      </c>
      <c r="E475" s="5" t="inlineStr">
        <is>
          <t>ar</t>
        </is>
      </c>
      <c r="F475" s="5" t="inlineStr">
        <is>
          <t>cot</t>
        </is>
      </c>
      <c r="G475" s="5" t="inlineStr">
        <is>
          <t>cross_kg</t>
        </is>
      </c>
      <c r="H475" s="5" t="inlineStr">
        <is>
          <t>cross_kg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14.33</v>
      </c>
    </row>
    <row r="476">
      <c r="A476" s="5" t="inlineStr">
        <is>
          <t>cross_kg_014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23.26</v>
      </c>
    </row>
    <row r="477">
      <c r="A477" s="5" t="inlineStr">
        <is>
          <t>cross_kg_014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en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17.14</v>
      </c>
    </row>
    <row r="478">
      <c r="A478" s="5" t="inlineStr">
        <is>
          <t>cross_kg_014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en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17.63</v>
      </c>
    </row>
    <row r="479">
      <c r="A479" s="5" t="inlineStr">
        <is>
          <t>cross_kg_014</t>
        </is>
      </c>
      <c r="B479" s="5" t="n">
        <v>1</v>
      </c>
      <c r="C479" s="5" t="inlineStr">
        <is>
          <t>cross_kg</t>
        </is>
      </c>
      <c r="D479" s="5" t="inlineStr">
        <is>
          <t>cross</t>
        </is>
      </c>
      <c r="E479" s="5" t="inlineStr">
        <is>
          <t>fr</t>
        </is>
      </c>
      <c r="F479" s="5" t="inlineStr">
        <is>
          <t>zero-shot</t>
        </is>
      </c>
      <c r="G479" s="5" t="inlineStr">
        <is>
          <t>cross_kg</t>
        </is>
      </c>
      <c r="H479" s="5" t="inlineStr">
        <is>
          <t>cross_kg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21.69</v>
      </c>
    </row>
    <row r="480">
      <c r="A480" s="5" t="inlineStr">
        <is>
          <t>cross_kg_014</t>
        </is>
      </c>
      <c r="B480" s="5" t="n">
        <v>1</v>
      </c>
      <c r="C480" s="5" t="inlineStr">
        <is>
          <t>cross_kg</t>
        </is>
      </c>
      <c r="D480" s="5" t="inlineStr">
        <is>
          <t>cross</t>
        </is>
      </c>
      <c r="E480" s="5" t="inlineStr">
        <is>
          <t>fr</t>
        </is>
      </c>
      <c r="F480" s="5" t="inlineStr">
        <is>
          <t>few-shot</t>
        </is>
      </c>
      <c r="G480" s="5" t="inlineStr">
        <is>
          <t>cross_kg</t>
        </is>
      </c>
      <c r="H480" s="5" t="inlineStr">
        <is>
          <t>cross_kg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17.69</v>
      </c>
    </row>
    <row r="481">
      <c r="A481" s="5" t="inlineStr">
        <is>
          <t>cross_kg_014</t>
        </is>
      </c>
      <c r="B481" s="5" t="n">
        <v>1</v>
      </c>
      <c r="C481" s="5" t="inlineStr">
        <is>
          <t>cross_kg</t>
        </is>
      </c>
      <c r="D481" s="5" t="inlineStr">
        <is>
          <t>cross</t>
        </is>
      </c>
      <c r="E481" s="5" t="inlineStr">
        <is>
          <t>fr</t>
        </is>
      </c>
      <c r="F481" s="5" t="inlineStr">
        <is>
          <t>cot</t>
        </is>
      </c>
      <c r="G481" s="5" t="inlineStr">
        <is>
          <t>cross_kg</t>
        </is>
      </c>
      <c r="H481" s="5" t="inlineStr">
        <is>
          <t>cross_kg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18.1</v>
      </c>
    </row>
    <row r="482">
      <c r="A482" s="5" t="inlineStr">
        <is>
          <t>cross_kg_014</t>
        </is>
      </c>
      <c r="B482" s="5" t="n">
        <v>1</v>
      </c>
      <c r="C482" s="5" t="inlineStr">
        <is>
          <t>cross_kg</t>
        </is>
      </c>
      <c r="D482" s="5" t="inlineStr">
        <is>
          <t>cross</t>
        </is>
      </c>
      <c r="E482" s="5" t="inlineStr">
        <is>
          <t>ar</t>
        </is>
      </c>
      <c r="F482" s="5" t="inlineStr">
        <is>
          <t>zero-shot</t>
        </is>
      </c>
      <c r="G482" s="5" t="inlineStr">
        <is>
          <t>cross_kg</t>
        </is>
      </c>
      <c r="H482" s="5" t="inlineStr">
        <is>
          <t>cross_kg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22.31</v>
      </c>
    </row>
    <row r="483">
      <c r="A483" s="5" t="inlineStr">
        <is>
          <t>cross_kg_014</t>
        </is>
      </c>
      <c r="B483" s="5" t="n">
        <v>1</v>
      </c>
      <c r="C483" s="5" t="inlineStr">
        <is>
          <t>cross_kg</t>
        </is>
      </c>
      <c r="D483" s="5" t="inlineStr">
        <is>
          <t>cross</t>
        </is>
      </c>
      <c r="E483" s="5" t="inlineStr">
        <is>
          <t>ar</t>
        </is>
      </c>
      <c r="F483" s="5" t="inlineStr">
        <is>
          <t>few-shot</t>
        </is>
      </c>
      <c r="G483" s="5" t="inlineStr">
        <is>
          <t>cross_kg</t>
        </is>
      </c>
      <c r="H483" s="5" t="inlineStr">
        <is>
          <t>cross_kg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14.95</v>
      </c>
    </row>
    <row r="484">
      <c r="A484" s="5" t="inlineStr">
        <is>
          <t>cross_kg_014</t>
        </is>
      </c>
      <c r="B484" s="5" t="n">
        <v>1</v>
      </c>
      <c r="C484" s="5" t="inlineStr">
        <is>
          <t>cross_kg</t>
        </is>
      </c>
      <c r="D484" s="5" t="inlineStr">
        <is>
          <t>cross</t>
        </is>
      </c>
      <c r="E484" s="5" t="inlineStr">
        <is>
          <t>ar</t>
        </is>
      </c>
      <c r="F484" s="5" t="inlineStr">
        <is>
          <t>cot</t>
        </is>
      </c>
      <c r="G484" s="5" t="inlineStr">
        <is>
          <t>cross_kg</t>
        </is>
      </c>
      <c r="H484" s="5" t="inlineStr">
        <is>
          <t>cross_kg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16.03</v>
      </c>
    </row>
    <row r="485">
      <c r="A485" s="5" t="inlineStr">
        <is>
          <t>cross_kg_015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21.25</v>
      </c>
    </row>
    <row r="486">
      <c r="A486" s="5" t="inlineStr">
        <is>
          <t>cross_kg_015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17.28</v>
      </c>
    </row>
    <row r="487">
      <c r="A487" s="5" t="inlineStr">
        <is>
          <t>cross_kg_015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17.85</v>
      </c>
    </row>
    <row r="488">
      <c r="A488" s="5" t="inlineStr">
        <is>
          <t>cross_kg_015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21.66</v>
      </c>
    </row>
    <row r="489">
      <c r="A489" s="5" t="inlineStr">
        <is>
          <t>cross_kg_015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17.79</v>
      </c>
    </row>
    <row r="490">
      <c r="A490" s="5" t="inlineStr">
        <is>
          <t>cross_kg_015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18.25</v>
      </c>
    </row>
    <row r="491">
      <c r="A491" s="5" t="inlineStr">
        <is>
          <t>cross_kg_015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21.67</v>
      </c>
    </row>
    <row r="492">
      <c r="A492" s="5" t="inlineStr">
        <is>
          <t>cross_kg_015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17.51</v>
      </c>
    </row>
    <row r="493">
      <c r="A493" s="5" t="inlineStr">
        <is>
          <t>cross_kg_015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17.96</v>
      </c>
    </row>
    <row r="494">
      <c r="A494" s="5" t="inlineStr">
        <is>
          <t>group_agg_kg2_001</t>
        </is>
      </c>
      <c r="B494" s="5" t="n">
        <v>2</v>
      </c>
      <c r="C494" s="5" t="inlineStr">
        <is>
          <t>group_aggregate_kg2</t>
        </is>
      </c>
      <c r="D494" s="5" t="inlineStr">
        <is>
          <t>airports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template</t>
        </is>
      </c>
      <c r="H494" s="5" t="inlineStr">
        <is>
          <t>template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8.68</v>
      </c>
    </row>
    <row r="495">
      <c r="A495" s="5" t="inlineStr">
        <is>
          <t>group_agg_kg2_001</t>
        </is>
      </c>
      <c r="B495" s="5" t="n">
        <v>2</v>
      </c>
      <c r="C495" s="5" t="inlineStr">
        <is>
          <t>group_aggregate_kg2</t>
        </is>
      </c>
      <c r="D495" s="5" t="inlineStr">
        <is>
          <t>airports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template</t>
        </is>
      </c>
      <c r="H495" s="5" t="inlineStr">
        <is>
          <t>template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8.779999999999999</v>
      </c>
    </row>
    <row r="496">
      <c r="A496" s="5" t="inlineStr">
        <is>
          <t>group_agg_kg2_001</t>
        </is>
      </c>
      <c r="B496" s="5" t="n">
        <v>2</v>
      </c>
      <c r="C496" s="5" t="inlineStr">
        <is>
          <t>group_aggregate_kg2</t>
        </is>
      </c>
      <c r="D496" s="5" t="inlineStr">
        <is>
          <t>airports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template</t>
        </is>
      </c>
      <c r="H496" s="5" t="inlineStr">
        <is>
          <t>template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8.77</v>
      </c>
    </row>
    <row r="497">
      <c r="A497" s="5" t="inlineStr">
        <is>
          <t>group_agg_kg2_001</t>
        </is>
      </c>
      <c r="B497" s="5" t="n">
        <v>2</v>
      </c>
      <c r="C497" s="5" t="inlineStr">
        <is>
          <t>group_aggregate_kg2</t>
        </is>
      </c>
      <c r="D497" s="5" t="inlineStr">
        <is>
          <t>airports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template</t>
        </is>
      </c>
      <c r="H497" s="5" t="inlineStr">
        <is>
          <t>template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9.76</v>
      </c>
    </row>
    <row r="498">
      <c r="A498" s="5" t="inlineStr">
        <is>
          <t>group_agg_kg2_001</t>
        </is>
      </c>
      <c r="B498" s="5" t="n">
        <v>2</v>
      </c>
      <c r="C498" s="5" t="inlineStr">
        <is>
          <t>group_aggregate_kg2</t>
        </is>
      </c>
      <c r="D498" s="5" t="inlineStr">
        <is>
          <t>airports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template</t>
        </is>
      </c>
      <c r="H498" s="5" t="inlineStr">
        <is>
          <t>template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8.77</v>
      </c>
    </row>
    <row r="499">
      <c r="A499" s="5" t="inlineStr">
        <is>
          <t>group_agg_kg2_001</t>
        </is>
      </c>
      <c r="B499" s="5" t="n">
        <v>2</v>
      </c>
      <c r="C499" s="5" t="inlineStr">
        <is>
          <t>group_aggregate_kg2</t>
        </is>
      </c>
      <c r="D499" s="5" t="inlineStr">
        <is>
          <t>airports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template</t>
        </is>
      </c>
      <c r="H499" s="5" t="inlineStr">
        <is>
          <t>template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8.83</v>
      </c>
    </row>
    <row r="500">
      <c r="A500" s="5" t="inlineStr">
        <is>
          <t>group_agg_kg2_001</t>
        </is>
      </c>
      <c r="B500" s="5" t="n">
        <v>2</v>
      </c>
      <c r="C500" s="5" t="inlineStr">
        <is>
          <t>group_aggregate_kg2</t>
        </is>
      </c>
      <c r="D500" s="5" t="inlineStr">
        <is>
          <t>airports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template</t>
        </is>
      </c>
      <c r="H500" s="5" t="inlineStr">
        <is>
          <t>template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11.93</v>
      </c>
    </row>
    <row r="501">
      <c r="A501" s="5" t="inlineStr">
        <is>
          <t>group_agg_kg2_001</t>
        </is>
      </c>
      <c r="B501" s="5" t="n">
        <v>2</v>
      </c>
      <c r="C501" s="5" t="inlineStr">
        <is>
          <t>group_aggregate_kg2</t>
        </is>
      </c>
      <c r="D501" s="5" t="inlineStr">
        <is>
          <t>airports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template</t>
        </is>
      </c>
      <c r="H501" s="5" t="inlineStr">
        <is>
          <t>template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8.75</v>
      </c>
    </row>
    <row r="502">
      <c r="A502" s="5" t="inlineStr">
        <is>
          <t>group_agg_kg2_001</t>
        </is>
      </c>
      <c r="B502" s="5" t="n">
        <v>2</v>
      </c>
      <c r="C502" s="5" t="inlineStr">
        <is>
          <t>group_aggregate_kg2</t>
        </is>
      </c>
      <c r="D502" s="5" t="inlineStr">
        <is>
          <t>airports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template</t>
        </is>
      </c>
      <c r="H502" s="5" t="inlineStr">
        <is>
          <t>template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8.789999999999999</v>
      </c>
    </row>
    <row r="503">
      <c r="A503" s="5" t="inlineStr">
        <is>
          <t>filter_string_kg3_003</t>
        </is>
      </c>
      <c r="B503" s="5" t="n">
        <v>2</v>
      </c>
      <c r="C503" s="5" t="inlineStr">
        <is>
          <t>filter_string_kg3</t>
        </is>
      </c>
      <c r="D503" s="5" t="inlineStr">
        <is>
          <t>university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11.36</v>
      </c>
    </row>
    <row r="504">
      <c r="A504" s="5" t="inlineStr">
        <is>
          <t>filter_string_kg3_003</t>
        </is>
      </c>
      <c r="B504" s="5" t="n">
        <v>2</v>
      </c>
      <c r="C504" s="5" t="inlineStr">
        <is>
          <t>filter_string_kg3</t>
        </is>
      </c>
      <c r="D504" s="5" t="inlineStr">
        <is>
          <t>university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7.34</v>
      </c>
    </row>
    <row r="505">
      <c r="A505" s="5" t="inlineStr">
        <is>
          <t>filter_string_kg3_003</t>
        </is>
      </c>
      <c r="B505" s="5" t="n">
        <v>2</v>
      </c>
      <c r="C505" s="5" t="inlineStr">
        <is>
          <t>filter_string_kg3</t>
        </is>
      </c>
      <c r="D505" s="5" t="inlineStr">
        <is>
          <t>university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7.13</v>
      </c>
    </row>
    <row r="506">
      <c r="A506" s="5" t="inlineStr">
        <is>
          <t>filter_string_kg3_003</t>
        </is>
      </c>
      <c r="B506" s="5" t="n">
        <v>2</v>
      </c>
      <c r="C506" s="5" t="inlineStr">
        <is>
          <t>filter_string_kg3</t>
        </is>
      </c>
      <c r="D506" s="5" t="inlineStr">
        <is>
          <t>university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9.9</v>
      </c>
    </row>
    <row r="507">
      <c r="A507" s="5" t="inlineStr">
        <is>
          <t>filter_string_kg3_003</t>
        </is>
      </c>
      <c r="B507" s="5" t="n">
        <v>2</v>
      </c>
      <c r="C507" s="5" t="inlineStr">
        <is>
          <t>filter_string_kg3</t>
        </is>
      </c>
      <c r="D507" s="5" t="inlineStr">
        <is>
          <t>university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8.699999999999999</v>
      </c>
    </row>
    <row r="508">
      <c r="A508" s="5" t="inlineStr">
        <is>
          <t>filter_string_kg3_003</t>
        </is>
      </c>
      <c r="B508" s="5" t="n">
        <v>2</v>
      </c>
      <c r="C508" s="5" t="inlineStr">
        <is>
          <t>filter_string_kg3</t>
        </is>
      </c>
      <c r="D508" s="5" t="inlineStr">
        <is>
          <t>university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8.949999999999999</v>
      </c>
    </row>
    <row r="509">
      <c r="A509" s="5" t="inlineStr">
        <is>
          <t>filter_string_kg3_003</t>
        </is>
      </c>
      <c r="B509" s="5" t="n">
        <v>2</v>
      </c>
      <c r="C509" s="5" t="inlineStr">
        <is>
          <t>filter_string_kg3</t>
        </is>
      </c>
      <c r="D509" s="5" t="inlineStr">
        <is>
          <t>university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8.109999999999999</v>
      </c>
    </row>
    <row r="510">
      <c r="A510" s="5" t="inlineStr">
        <is>
          <t>filter_string_kg3_003</t>
        </is>
      </c>
      <c r="B510" s="5" t="n">
        <v>2</v>
      </c>
      <c r="C510" s="5" t="inlineStr">
        <is>
          <t>filter_string_kg3</t>
        </is>
      </c>
      <c r="D510" s="5" t="inlineStr">
        <is>
          <t>university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8.76</v>
      </c>
    </row>
    <row r="511">
      <c r="A511" s="5" t="inlineStr">
        <is>
          <t>filter_string_kg3_003</t>
        </is>
      </c>
      <c r="B511" s="5" t="n">
        <v>2</v>
      </c>
      <c r="C511" s="5" t="inlineStr">
        <is>
          <t>filter_string_kg3</t>
        </is>
      </c>
      <c r="D511" s="5" t="inlineStr">
        <is>
          <t>university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8.75</v>
      </c>
    </row>
    <row r="512">
      <c r="A512" s="5" t="inlineStr">
        <is>
          <t>ranking_kg2_004</t>
        </is>
      </c>
      <c r="B512" s="5" t="n">
        <v>2</v>
      </c>
      <c r="C512" s="5" t="inlineStr">
        <is>
          <t>ranking_kg2</t>
        </is>
      </c>
      <c r="D512" s="5" t="inlineStr">
        <is>
          <t>airports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template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11.68</v>
      </c>
    </row>
    <row r="513">
      <c r="A513" s="5" t="inlineStr">
        <is>
          <t>ranking_kg2_004</t>
        </is>
      </c>
      <c r="B513" s="5" t="n">
        <v>2</v>
      </c>
      <c r="C513" s="5" t="inlineStr">
        <is>
          <t>ranking_kg2</t>
        </is>
      </c>
      <c r="D513" s="5" t="inlineStr">
        <is>
          <t>airports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template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10.04</v>
      </c>
    </row>
    <row r="514">
      <c r="A514" s="5" t="inlineStr">
        <is>
          <t>ranking_kg2_004</t>
        </is>
      </c>
      <c r="B514" s="5" t="n">
        <v>2</v>
      </c>
      <c r="C514" s="5" t="inlineStr">
        <is>
          <t>ranking_kg2</t>
        </is>
      </c>
      <c r="D514" s="5" t="inlineStr">
        <is>
          <t>airports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template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9.91</v>
      </c>
    </row>
    <row r="515">
      <c r="A515" s="5" t="inlineStr">
        <is>
          <t>ranking_kg2_004</t>
        </is>
      </c>
      <c r="B515" s="5" t="n">
        <v>2</v>
      </c>
      <c r="C515" s="5" t="inlineStr">
        <is>
          <t>ranking_kg2</t>
        </is>
      </c>
      <c r="D515" s="5" t="inlineStr">
        <is>
          <t>airports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13.83</v>
      </c>
    </row>
    <row r="516">
      <c r="A516" s="5" t="inlineStr">
        <is>
          <t>ranking_kg2_004</t>
        </is>
      </c>
      <c r="B516" s="5" t="n">
        <v>2</v>
      </c>
      <c r="C516" s="5" t="inlineStr">
        <is>
          <t>ranking_kg2</t>
        </is>
      </c>
      <c r="D516" s="5" t="inlineStr">
        <is>
          <t>airports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10.07</v>
      </c>
    </row>
    <row r="517">
      <c r="A517" s="5" t="inlineStr">
        <is>
          <t>ranking_kg2_004</t>
        </is>
      </c>
      <c r="B517" s="5" t="n">
        <v>2</v>
      </c>
      <c r="C517" s="5" t="inlineStr">
        <is>
          <t>ranking_kg2</t>
        </is>
      </c>
      <c r="D517" s="5" t="inlineStr">
        <is>
          <t>airports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10.34</v>
      </c>
    </row>
    <row r="518">
      <c r="A518" s="5" t="inlineStr">
        <is>
          <t>ranking_kg2_004</t>
        </is>
      </c>
      <c r="B518" s="5" t="n">
        <v>2</v>
      </c>
      <c r="C518" s="5" t="inlineStr">
        <is>
          <t>ranking_kg2</t>
        </is>
      </c>
      <c r="D518" s="5" t="inlineStr">
        <is>
          <t>airports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14.79</v>
      </c>
    </row>
    <row r="519">
      <c r="A519" s="5" t="inlineStr">
        <is>
          <t>ranking_kg2_004</t>
        </is>
      </c>
      <c r="B519" s="5" t="n">
        <v>2</v>
      </c>
      <c r="C519" s="5" t="inlineStr">
        <is>
          <t>ranking_kg2</t>
        </is>
      </c>
      <c r="D519" s="5" t="inlineStr">
        <is>
          <t>airports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11.01</v>
      </c>
    </row>
    <row r="520">
      <c r="A520" s="5" t="inlineStr">
        <is>
          <t>ranking_kg2_004</t>
        </is>
      </c>
      <c r="B520" s="5" t="n">
        <v>2</v>
      </c>
      <c r="C520" s="5" t="inlineStr">
        <is>
          <t>ranking_kg2</t>
        </is>
      </c>
      <c r="D520" s="5" t="inlineStr">
        <is>
          <t>airports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10.7</v>
      </c>
    </row>
    <row r="521">
      <c r="A521" s="5" t="inlineStr">
        <is>
          <t>ask_query_005</t>
        </is>
      </c>
      <c r="B521" s="5" t="n">
        <v>3</v>
      </c>
      <c r="C521" s="5" t="inlineStr">
        <is>
          <t>ask_query</t>
        </is>
      </c>
      <c r="D521" s="5" t="inlineStr">
        <is>
          <t>mixed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ask_query</t>
        </is>
      </c>
      <c r="H521" s="5" t="inlineStr">
        <is>
          <t>ask_query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7.63</v>
      </c>
    </row>
    <row r="522">
      <c r="A522" s="5" t="inlineStr">
        <is>
          <t>ask_query_005</t>
        </is>
      </c>
      <c r="B522" s="5" t="n">
        <v>3</v>
      </c>
      <c r="C522" s="5" t="inlineStr">
        <is>
          <t>ask_query</t>
        </is>
      </c>
      <c r="D522" s="5" t="inlineStr">
        <is>
          <t>mixed</t>
        </is>
      </c>
      <c r="E522" s="5" t="inlineStr">
        <is>
          <t>fr</t>
        </is>
      </c>
      <c r="F522" s="5" t="inlineStr">
        <is>
          <t>zero-shot</t>
        </is>
      </c>
      <c r="G522" s="5" t="inlineStr">
        <is>
          <t>ask_query</t>
        </is>
      </c>
      <c r="H522" s="5" t="inlineStr">
        <is>
          <t>ask_query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4.65</v>
      </c>
    </row>
    <row r="523">
      <c r="A523" s="5" t="inlineStr">
        <is>
          <t>ask_query_005</t>
        </is>
      </c>
      <c r="B523" s="5" t="n">
        <v>3</v>
      </c>
      <c r="C523" s="5" t="inlineStr">
        <is>
          <t>ask_query</t>
        </is>
      </c>
      <c r="D523" s="5" t="inlineStr">
        <is>
          <t>mixed</t>
        </is>
      </c>
      <c r="E523" s="5" t="inlineStr">
        <is>
          <t>ar</t>
        </is>
      </c>
      <c r="F523" s="5" t="inlineStr">
        <is>
          <t>zero-shot</t>
        </is>
      </c>
      <c r="G523" s="5" t="inlineStr">
        <is>
          <t>ask_query</t>
        </is>
      </c>
      <c r="H523" s="5" t="inlineStr">
        <is>
          <t>ask_query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10.21</v>
      </c>
    </row>
    <row r="524">
      <c r="A524" s="5" t="inlineStr">
        <is>
          <t>filter_string_kg2_001</t>
        </is>
      </c>
      <c r="B524" s="5" t="n">
        <v>2</v>
      </c>
      <c r="C524" s="5" t="inlineStr">
        <is>
          <t>filter_string_kg2</t>
        </is>
      </c>
      <c r="D524" s="5" t="inlineStr">
        <is>
          <t>airports</t>
        </is>
      </c>
      <c r="E524" s="5" t="inlineStr">
        <is>
          <t>en</t>
        </is>
      </c>
      <c r="F524" s="5" t="inlineStr">
        <is>
          <t>zero-shot</t>
        </is>
      </c>
      <c r="G524" s="5" t="inlineStr">
        <is>
          <t>template</t>
        </is>
      </c>
      <c r="H524" s="5" t="inlineStr">
        <is>
          <t>template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33.34</v>
      </c>
    </row>
    <row r="525">
      <c r="A525" s="5" t="inlineStr">
        <is>
          <t>filter_string_kg2_001</t>
        </is>
      </c>
      <c r="B525" s="5" t="n">
        <v>2</v>
      </c>
      <c r="C525" s="5" t="inlineStr">
        <is>
          <t>filter_string_kg2</t>
        </is>
      </c>
      <c r="D525" s="5" t="inlineStr">
        <is>
          <t>airports</t>
        </is>
      </c>
      <c r="E525" s="5" t="inlineStr">
        <is>
          <t>fr</t>
        </is>
      </c>
      <c r="F525" s="5" t="inlineStr">
        <is>
          <t>zero-shot</t>
        </is>
      </c>
      <c r="G525" s="5" t="inlineStr">
        <is>
          <t>template</t>
        </is>
      </c>
      <c r="H525" s="5" t="inlineStr">
        <is>
          <t>template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13.65</v>
      </c>
    </row>
    <row r="526">
      <c r="A526" s="5" t="inlineStr">
        <is>
          <t>filter_string_kg2_001</t>
        </is>
      </c>
      <c r="B526" s="5" t="n">
        <v>2</v>
      </c>
      <c r="C526" s="5" t="inlineStr">
        <is>
          <t>filter_string_kg2</t>
        </is>
      </c>
      <c r="D526" s="5" t="inlineStr">
        <is>
          <t>airports</t>
        </is>
      </c>
      <c r="E526" s="5" t="inlineStr">
        <is>
          <t>ar</t>
        </is>
      </c>
      <c r="F526" s="5" t="inlineStr">
        <is>
          <t>zero-shot</t>
        </is>
      </c>
      <c r="G526" s="5" t="inlineStr">
        <is>
          <t>template</t>
        </is>
      </c>
      <c r="H526" s="5" t="inlineStr">
        <is>
          <t>template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13.49</v>
      </c>
    </row>
    <row r="527">
      <c r="A527" s="5" t="inlineStr">
        <is>
          <t>filter_string_kg2_002</t>
        </is>
      </c>
      <c r="B527" s="5" t="n">
        <v>2</v>
      </c>
      <c r="C527" s="5" t="inlineStr">
        <is>
          <t>filter_string_kg2</t>
        </is>
      </c>
      <c r="D527" s="5" t="inlineStr">
        <is>
          <t>airports</t>
        </is>
      </c>
      <c r="E527" s="5" t="inlineStr">
        <is>
          <t>en</t>
        </is>
      </c>
      <c r="F527" s="5" t="inlineStr">
        <is>
          <t>zero-shot</t>
        </is>
      </c>
      <c r="G527" s="5" t="inlineStr">
        <is>
          <t>template</t>
        </is>
      </c>
      <c r="H527" s="5" t="inlineStr">
        <is>
          <t>template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13.48</v>
      </c>
    </row>
    <row r="528">
      <c r="A528" s="5" t="inlineStr">
        <is>
          <t>filter_string_kg2_002</t>
        </is>
      </c>
      <c r="B528" s="5" t="n">
        <v>2</v>
      </c>
      <c r="C528" s="5" t="inlineStr">
        <is>
          <t>filter_string_kg2</t>
        </is>
      </c>
      <c r="D528" s="5" t="inlineStr">
        <is>
          <t>airports</t>
        </is>
      </c>
      <c r="E528" s="5" t="inlineStr">
        <is>
          <t>fr</t>
        </is>
      </c>
      <c r="F528" s="5" t="inlineStr">
        <is>
          <t>zero-shot</t>
        </is>
      </c>
      <c r="G528" s="5" t="inlineStr">
        <is>
          <t>template</t>
        </is>
      </c>
      <c r="H528" s="5" t="inlineStr">
        <is>
          <t>template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16.2</v>
      </c>
    </row>
    <row r="529">
      <c r="A529" s="5" t="inlineStr">
        <is>
          <t>filter_string_kg2_002</t>
        </is>
      </c>
      <c r="B529" s="5" t="n">
        <v>2</v>
      </c>
      <c r="C529" s="5" t="inlineStr">
        <is>
          <t>filter_string_kg2</t>
        </is>
      </c>
      <c r="D529" s="5" t="inlineStr">
        <is>
          <t>airports</t>
        </is>
      </c>
      <c r="E529" s="5" t="inlineStr">
        <is>
          <t>ar</t>
        </is>
      </c>
      <c r="F529" s="5" t="inlineStr">
        <is>
          <t>zero-shot</t>
        </is>
      </c>
      <c r="G529" s="5" t="inlineStr">
        <is>
          <t>template</t>
        </is>
      </c>
      <c r="H529" s="5" t="inlineStr">
        <is>
          <t>template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10.18</v>
      </c>
    </row>
    <row r="530">
      <c r="A530" s="5" t="inlineStr">
        <is>
          <t>filter_string_kg2_003</t>
        </is>
      </c>
      <c r="B530" s="5" t="n">
        <v>2</v>
      </c>
      <c r="C530" s="5" t="inlineStr">
        <is>
          <t>filter_string_kg2</t>
        </is>
      </c>
      <c r="D530" s="5" t="inlineStr">
        <is>
          <t>airports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template</t>
        </is>
      </c>
      <c r="H530" s="5" t="inlineStr">
        <is>
          <t>template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10.9</v>
      </c>
    </row>
    <row r="531">
      <c r="A531" s="5" t="inlineStr">
        <is>
          <t>filter_string_kg2_003</t>
        </is>
      </c>
      <c r="B531" s="5" t="n">
        <v>2</v>
      </c>
      <c r="C531" s="5" t="inlineStr">
        <is>
          <t>filter_string_kg2</t>
        </is>
      </c>
      <c r="D531" s="5" t="inlineStr">
        <is>
          <t>airports</t>
        </is>
      </c>
      <c r="E531" s="5" t="inlineStr">
        <is>
          <t>fr</t>
        </is>
      </c>
      <c r="F531" s="5" t="inlineStr">
        <is>
          <t>zero-shot</t>
        </is>
      </c>
      <c r="G531" s="5" t="inlineStr">
        <is>
          <t>template</t>
        </is>
      </c>
      <c r="H531" s="5" t="inlineStr">
        <is>
          <t>template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13.55</v>
      </c>
    </row>
    <row r="532">
      <c r="A532" s="5" t="inlineStr">
        <is>
          <t>filter_string_kg2_003</t>
        </is>
      </c>
      <c r="B532" s="5" t="n">
        <v>2</v>
      </c>
      <c r="C532" s="5" t="inlineStr">
        <is>
          <t>filter_string_kg2</t>
        </is>
      </c>
      <c r="D532" s="5" t="inlineStr">
        <is>
          <t>airports</t>
        </is>
      </c>
      <c r="E532" s="5" t="inlineStr">
        <is>
          <t>ar</t>
        </is>
      </c>
      <c r="F532" s="5" t="inlineStr">
        <is>
          <t>zero-shot</t>
        </is>
      </c>
      <c r="G532" s="5" t="inlineStr">
        <is>
          <t>template</t>
        </is>
      </c>
      <c r="H532" s="5" t="inlineStr">
        <is>
          <t>template</t>
        </is>
      </c>
      <c r="I532" s="5" t="b">
        <v>1</v>
      </c>
      <c r="J532" s="5" t="b">
        <v>1</v>
      </c>
      <c r="K532" s="5" t="inlineStr">
        <is>
          <t>success</t>
        </is>
      </c>
      <c r="L532" s="5" t="n"/>
      <c r="M532" s="5" t="n">
        <v>1</v>
      </c>
      <c r="N532" s="5" t="n">
        <v>1</v>
      </c>
      <c r="O532" s="5" t="n">
        <v>9.859999999999999</v>
      </c>
    </row>
    <row r="533">
      <c r="A533" s="5" t="inlineStr">
        <is>
          <t>filter_numeric_kg3_001</t>
        </is>
      </c>
      <c r="B533" s="5" t="n">
        <v>1</v>
      </c>
      <c r="C533" s="5" t="inlineStr">
        <is>
          <t>filter_numeric_kg3</t>
        </is>
      </c>
      <c r="D533" s="5" t="inlineStr">
        <is>
          <t>university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filter_numeric_kg3</t>
        </is>
      </c>
      <c r="H533" s="5" t="inlineStr">
        <is>
          <t>template</t>
        </is>
      </c>
      <c r="I533" s="5" t="b">
        <v>0</v>
      </c>
      <c r="J533" s="5" t="b">
        <v>0</v>
      </c>
      <c r="K533" s="5" t="inlineStr">
        <is>
          <t>execution_failure</t>
        </is>
      </c>
      <c r="L533" s="5" t="inlineStr">
        <is>
          <t>params={'property': 'memberOf', 'value': '550', 'operator': '&gt;', 'direction': 'incoming', 'limit': 10}</t>
        </is>
      </c>
      <c r="M533" s="5" t="n">
        <v>0</v>
      </c>
      <c r="N533" s="5" t="n">
        <v>0</v>
      </c>
      <c r="O533" s="5" t="n">
        <v>40.81</v>
      </c>
    </row>
    <row r="534">
      <c r="A534" s="5" t="inlineStr">
        <is>
          <t>filter_numeric_kg3_001</t>
        </is>
      </c>
      <c r="B534" s="5" t="n">
        <v>1</v>
      </c>
      <c r="C534" s="5" t="inlineStr">
        <is>
          <t>filter_numeric_kg3</t>
        </is>
      </c>
      <c r="D534" s="5" t="inlineStr">
        <is>
          <t>university</t>
        </is>
      </c>
      <c r="E534" s="5" t="inlineStr">
        <is>
          <t>fr</t>
        </is>
      </c>
      <c r="F534" s="5" t="inlineStr">
        <is>
          <t>zero-shot</t>
        </is>
      </c>
      <c r="G534" s="5" t="inlineStr">
        <is>
          <t>filter_numeric_kg3</t>
        </is>
      </c>
      <c r="H534" s="5" t="inlineStr">
        <is>
          <t>template</t>
        </is>
      </c>
      <c r="I534" s="5" t="b">
        <v>0</v>
      </c>
      <c r="J534" s="5" t="b">
        <v>0</v>
      </c>
      <c r="K534" s="5" t="inlineStr">
        <is>
          <t>sparql_build_failure</t>
        </is>
      </c>
      <c r="L534" s="5" t="inlineStr">
        <is>
          <t>params={'property': 'size', 'operator': '&gt;', 'threshold': 550}</t>
        </is>
      </c>
      <c r="M534" s="5" t="n">
        <v>0</v>
      </c>
      <c r="N534" s="5" t="n">
        <v>0</v>
      </c>
      <c r="O534" s="5" t="n">
        <v>10.73</v>
      </c>
    </row>
    <row r="535">
      <c r="A535" s="5" t="inlineStr">
        <is>
          <t>filter_numeric_kg3_001</t>
        </is>
      </c>
      <c r="B535" s="5" t="n">
        <v>1</v>
      </c>
      <c r="C535" s="5" t="inlineStr">
        <is>
          <t>filter_numeric_kg3</t>
        </is>
      </c>
      <c r="D535" s="5" t="inlineStr">
        <is>
          <t>university</t>
        </is>
      </c>
      <c r="E535" s="5" t="inlineStr">
        <is>
          <t>ar</t>
        </is>
      </c>
      <c r="F535" s="5" t="inlineStr">
        <is>
          <t>zero-shot</t>
        </is>
      </c>
      <c r="G535" s="5" t="inlineStr">
        <is>
          <t>filter_numeric_kg3</t>
        </is>
      </c>
      <c r="H535" s="5" t="inlineStr">
        <is>
          <t>template</t>
        </is>
      </c>
      <c r="I535" s="5" t="b">
        <v>0</v>
      </c>
      <c r="J535" s="5" t="b">
        <v>0</v>
      </c>
      <c r="K535" s="5" t="inlineStr">
        <is>
          <t>execution_failure</t>
        </is>
      </c>
      <c r="L535" s="5" t="inlineStr">
        <is>
          <t>params={'property': 'memberOf', 'value': 'Department', 'operator': '&gt;=', 'threshold': 550, 'limit': 10}</t>
        </is>
      </c>
      <c r="M535" s="5" t="n">
        <v>0</v>
      </c>
      <c r="N535" s="5" t="n">
        <v>0</v>
      </c>
      <c r="O535" s="5" t="n">
        <v>13.28</v>
      </c>
    </row>
    <row r="536">
      <c r="A536" s="5" t="inlineStr">
        <is>
          <t>open_kg_007</t>
        </is>
      </c>
      <c r="B536" s="5" t="n">
        <v>1</v>
      </c>
      <c r="C536" s="5" t="inlineStr">
        <is>
          <t>open_kg</t>
        </is>
      </c>
      <c r="D536" s="5" t="inlineStr">
        <is>
          <t>cross</t>
        </is>
      </c>
      <c r="E536" s="5" t="inlineStr">
        <is>
          <t>en</t>
        </is>
      </c>
      <c r="F536" s="5" t="inlineStr">
        <is>
          <t>zero-shot</t>
        </is>
      </c>
      <c r="G536" s="5" t="inlineStr">
        <is>
          <t>open_kg</t>
        </is>
      </c>
      <c r="H536" s="5" t="inlineStr">
        <is>
          <t>open_kg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1</v>
      </c>
      <c r="N536" s="5" t="n">
        <v>1</v>
      </c>
      <c r="O536" s="5" t="n">
        <v>43.3</v>
      </c>
    </row>
    <row r="537">
      <c r="A537" s="5" t="inlineStr">
        <is>
          <t>open_kg_007</t>
        </is>
      </c>
      <c r="B537" s="5" t="n">
        <v>1</v>
      </c>
      <c r="C537" s="5" t="inlineStr">
        <is>
          <t>open_kg</t>
        </is>
      </c>
      <c r="D537" s="5" t="inlineStr">
        <is>
          <t>cross</t>
        </is>
      </c>
      <c r="E537" s="5" t="inlineStr">
        <is>
          <t>en</t>
        </is>
      </c>
      <c r="F537" s="5" t="inlineStr">
        <is>
          <t>few-shot</t>
        </is>
      </c>
      <c r="G537" s="5" t="inlineStr">
        <is>
          <t>open_kg</t>
        </is>
      </c>
      <c r="H537" s="5" t="inlineStr">
        <is>
          <t>open_kg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1</v>
      </c>
      <c r="N537" s="5" t="n">
        <v>1</v>
      </c>
      <c r="O537" s="5" t="n">
        <v>15.25</v>
      </c>
    </row>
    <row r="538">
      <c r="A538" s="5" t="inlineStr">
        <is>
          <t>open_kg_007</t>
        </is>
      </c>
      <c r="B538" s="5" t="n">
        <v>1</v>
      </c>
      <c r="C538" s="5" t="inlineStr">
        <is>
          <t>open_kg</t>
        </is>
      </c>
      <c r="D538" s="5" t="inlineStr">
        <is>
          <t>cross</t>
        </is>
      </c>
      <c r="E538" s="5" t="inlineStr">
        <is>
          <t>en</t>
        </is>
      </c>
      <c r="F538" s="5" t="inlineStr">
        <is>
          <t>cot</t>
        </is>
      </c>
      <c r="G538" s="5" t="inlineStr">
        <is>
          <t>open_kg</t>
        </is>
      </c>
      <c r="H538" s="5" t="inlineStr">
        <is>
          <t>open_kg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1</v>
      </c>
      <c r="N538" s="5" t="n">
        <v>1</v>
      </c>
      <c r="O538" s="5" t="n">
        <v>15.28</v>
      </c>
    </row>
    <row r="539">
      <c r="A539" s="5" t="inlineStr">
        <is>
          <t>open_kg_007</t>
        </is>
      </c>
      <c r="B539" s="5" t="n">
        <v>1</v>
      </c>
      <c r="C539" s="5" t="inlineStr">
        <is>
          <t>open_kg</t>
        </is>
      </c>
      <c r="D539" s="5" t="inlineStr">
        <is>
          <t>cross</t>
        </is>
      </c>
      <c r="E539" s="5" t="inlineStr">
        <is>
          <t>fr</t>
        </is>
      </c>
      <c r="F539" s="5" t="inlineStr">
        <is>
          <t>zero-shot</t>
        </is>
      </c>
      <c r="G539" s="5" t="inlineStr">
        <is>
          <t>open_kg</t>
        </is>
      </c>
      <c r="H539" s="5" t="inlineStr">
        <is>
          <t>open_kg</t>
        </is>
      </c>
      <c r="I539" s="5" t="b">
        <v>1</v>
      </c>
      <c r="J539" s="5" t="b">
        <v>1</v>
      </c>
      <c r="K539" s="5" t="inlineStr">
        <is>
          <t>success</t>
        </is>
      </c>
      <c r="L539" s="5" t="n"/>
      <c r="M539" s="5" t="n">
        <v>1</v>
      </c>
      <c r="N539" s="5" t="n">
        <v>1</v>
      </c>
      <c r="O539" s="5" t="n">
        <v>25.35</v>
      </c>
    </row>
    <row r="540">
      <c r="A540" s="5" t="inlineStr">
        <is>
          <t>open_kg_007</t>
        </is>
      </c>
      <c r="B540" s="5" t="n">
        <v>1</v>
      </c>
      <c r="C540" s="5" t="inlineStr">
        <is>
          <t>open_kg</t>
        </is>
      </c>
      <c r="D540" s="5" t="inlineStr">
        <is>
          <t>cross</t>
        </is>
      </c>
      <c r="E540" s="5" t="inlineStr">
        <is>
          <t>fr</t>
        </is>
      </c>
      <c r="F540" s="5" t="inlineStr">
        <is>
          <t>few-shot</t>
        </is>
      </c>
      <c r="G540" s="5" t="inlineStr">
        <is>
          <t>open_kg</t>
        </is>
      </c>
      <c r="H540" s="5" t="inlineStr">
        <is>
          <t>open_kg</t>
        </is>
      </c>
      <c r="I540" s="5" t="b">
        <v>1</v>
      </c>
      <c r="J540" s="5" t="b">
        <v>1</v>
      </c>
      <c r="K540" s="5" t="inlineStr">
        <is>
          <t>success</t>
        </is>
      </c>
      <c r="L540" s="5" t="n"/>
      <c r="M540" s="5" t="n">
        <v>1</v>
      </c>
      <c r="N540" s="5" t="n">
        <v>1</v>
      </c>
      <c r="O540" s="5" t="n">
        <v>18.43</v>
      </c>
    </row>
    <row r="541">
      <c r="A541" s="5" t="inlineStr">
        <is>
          <t>open_kg_007</t>
        </is>
      </c>
      <c r="B541" s="5" t="n">
        <v>1</v>
      </c>
      <c r="C541" s="5" t="inlineStr">
        <is>
          <t>open_kg</t>
        </is>
      </c>
      <c r="D541" s="5" t="inlineStr">
        <is>
          <t>cross</t>
        </is>
      </c>
      <c r="E541" s="5" t="inlineStr">
        <is>
          <t>fr</t>
        </is>
      </c>
      <c r="F541" s="5" t="inlineStr">
        <is>
          <t>cot</t>
        </is>
      </c>
      <c r="G541" s="5" t="inlineStr">
        <is>
          <t>open_kg</t>
        </is>
      </c>
      <c r="H541" s="5" t="inlineStr">
        <is>
          <t>open_kg</t>
        </is>
      </c>
      <c r="I541" s="5" t="b">
        <v>1</v>
      </c>
      <c r="J541" s="5" t="b">
        <v>1</v>
      </c>
      <c r="K541" s="5" t="inlineStr">
        <is>
          <t>success</t>
        </is>
      </c>
      <c r="L541" s="5" t="n"/>
      <c r="M541" s="5" t="n">
        <v>1</v>
      </c>
      <c r="N541" s="5" t="n">
        <v>1</v>
      </c>
      <c r="O541" s="5" t="n">
        <v>18.1</v>
      </c>
    </row>
    <row r="542">
      <c r="A542" s="5" t="inlineStr">
        <is>
          <t>open_kg_007</t>
        </is>
      </c>
      <c r="B542" s="5" t="n">
        <v>1</v>
      </c>
      <c r="C542" s="5" t="inlineStr">
        <is>
          <t>open_kg</t>
        </is>
      </c>
      <c r="D542" s="5" t="inlineStr">
        <is>
          <t>cross</t>
        </is>
      </c>
      <c r="E542" s="5" t="inlineStr">
        <is>
          <t>ar</t>
        </is>
      </c>
      <c r="F542" s="5" t="inlineStr">
        <is>
          <t>zero-shot</t>
        </is>
      </c>
      <c r="G542" s="5" t="inlineStr">
        <is>
          <t>open_kg</t>
        </is>
      </c>
      <c r="H542" s="5" t="inlineStr">
        <is>
          <t>out_of_scope</t>
        </is>
      </c>
      <c r="I542" s="5" t="b">
        <v>0</v>
      </c>
      <c r="J542" s="5" t="b">
        <v>0</v>
      </c>
      <c r="K542" s="5" t="inlineStr">
        <is>
          <t>routing_miss</t>
        </is>
      </c>
      <c r="L542" s="5" t="n"/>
      <c r="M542" s="5" t="n">
        <v>0</v>
      </c>
      <c r="N542" s="5" t="n">
        <v>0</v>
      </c>
      <c r="O542" s="5" t="n">
        <v>13.39</v>
      </c>
    </row>
    <row r="543">
      <c r="A543" s="5" t="inlineStr">
        <is>
          <t>open_kg_007</t>
        </is>
      </c>
      <c r="B543" s="5" t="n">
        <v>1</v>
      </c>
      <c r="C543" s="5" t="inlineStr">
        <is>
          <t>open_kg</t>
        </is>
      </c>
      <c r="D543" s="5" t="inlineStr">
        <is>
          <t>cross</t>
        </is>
      </c>
      <c r="E543" s="5" t="inlineStr">
        <is>
          <t>ar</t>
        </is>
      </c>
      <c r="F543" s="5" t="inlineStr">
        <is>
          <t>few-shot</t>
        </is>
      </c>
      <c r="G543" s="5" t="inlineStr">
        <is>
          <t>open_kg</t>
        </is>
      </c>
      <c r="H543" s="5" t="inlineStr">
        <is>
          <t>out_of_scope</t>
        </is>
      </c>
      <c r="I543" s="5" t="b">
        <v>0</v>
      </c>
      <c r="J543" s="5" t="b">
        <v>0</v>
      </c>
      <c r="K543" s="5" t="inlineStr">
        <is>
          <t>routing_miss</t>
        </is>
      </c>
      <c r="L543" s="5" t="n"/>
      <c r="M543" s="5" t="n">
        <v>0</v>
      </c>
      <c r="N543" s="5" t="n">
        <v>0</v>
      </c>
      <c r="O543" s="5" t="n">
        <v>5.83</v>
      </c>
    </row>
    <row r="544">
      <c r="A544" s="5" t="inlineStr">
        <is>
          <t>open_kg_007</t>
        </is>
      </c>
      <c r="B544" s="5" t="n">
        <v>1</v>
      </c>
      <c r="C544" s="5" t="inlineStr">
        <is>
          <t>open_kg</t>
        </is>
      </c>
      <c r="D544" s="5" t="inlineStr">
        <is>
          <t>cross</t>
        </is>
      </c>
      <c r="E544" s="5" t="inlineStr">
        <is>
          <t>ar</t>
        </is>
      </c>
      <c r="F544" s="5" t="inlineStr">
        <is>
          <t>cot</t>
        </is>
      </c>
      <c r="G544" s="5" t="inlineStr">
        <is>
          <t>open_kg</t>
        </is>
      </c>
      <c r="H544" s="5" t="inlineStr">
        <is>
          <t>out_of_scope</t>
        </is>
      </c>
      <c r="I544" s="5" t="b">
        <v>0</v>
      </c>
      <c r="J544" s="5" t="b">
        <v>0</v>
      </c>
      <c r="K544" s="5" t="inlineStr">
        <is>
          <t>routing_miss</t>
        </is>
      </c>
      <c r="L544" s="5" t="n"/>
      <c r="M544" s="5" t="n">
        <v>0</v>
      </c>
      <c r="N544" s="5" t="n">
        <v>0</v>
      </c>
      <c r="O544" s="5" t="n">
        <v>6.53</v>
      </c>
    </row>
    <row r="545">
      <c r="A545" s="5" t="inlineStr">
        <is>
          <t>ranking_kg1_001</t>
        </is>
      </c>
      <c r="B545" s="5" t="n">
        <v>2</v>
      </c>
      <c r="C545" s="5" t="inlineStr">
        <is>
          <t>ranking_kg1</t>
        </is>
      </c>
      <c r="D545" s="5" t="inlineStr">
        <is>
          <t>flights</t>
        </is>
      </c>
      <c r="E545" s="5" t="inlineStr">
        <is>
          <t>en</t>
        </is>
      </c>
      <c r="F545" s="5" t="inlineStr">
        <is>
          <t>zero-shot</t>
        </is>
      </c>
      <c r="G545" s="5" t="inlineStr">
        <is>
          <t>ranking_kg1</t>
        </is>
      </c>
      <c r="H545" s="5" t="inlineStr">
        <is>
          <t>open_kg</t>
        </is>
      </c>
      <c r="I545" s="5" t="b">
        <v>0</v>
      </c>
      <c r="J545" s="5" t="b">
        <v>1</v>
      </c>
      <c r="K545" s="5" t="inlineStr">
        <is>
          <t>success</t>
        </is>
      </c>
      <c r="L545" s="5" t="n"/>
      <c r="M545" s="5" t="n">
        <v>1</v>
      </c>
      <c r="N545" s="5" t="n">
        <v>1</v>
      </c>
      <c r="O545" s="5" t="n">
        <v>40.7</v>
      </c>
    </row>
    <row r="546">
      <c r="A546" s="5" t="inlineStr">
        <is>
          <t>ranking_kg1_001</t>
        </is>
      </c>
      <c r="B546" s="5" t="n">
        <v>2</v>
      </c>
      <c r="C546" s="5" t="inlineStr">
        <is>
          <t>ranking_kg1</t>
        </is>
      </c>
      <c r="D546" s="5" t="inlineStr">
        <is>
          <t>flights</t>
        </is>
      </c>
      <c r="E546" s="5" t="inlineStr">
        <is>
          <t>fr</t>
        </is>
      </c>
      <c r="F546" s="5" t="inlineStr">
        <is>
          <t>zero-shot</t>
        </is>
      </c>
      <c r="G546" s="5" t="inlineStr">
        <is>
          <t>ranking_kg1</t>
        </is>
      </c>
      <c r="H546" s="5" t="inlineStr">
        <is>
          <t>open_kg</t>
        </is>
      </c>
      <c r="I546" s="5" t="b">
        <v>0</v>
      </c>
      <c r="J546" s="5" t="b">
        <v>1</v>
      </c>
      <c r="K546" s="5" t="inlineStr">
        <is>
          <t>success</t>
        </is>
      </c>
      <c r="L546" s="5" t="n"/>
      <c r="M546" s="5" t="n">
        <v>1</v>
      </c>
      <c r="N546" s="5" t="n">
        <v>1</v>
      </c>
      <c r="O546" s="5" t="n">
        <v>41.08</v>
      </c>
    </row>
    <row r="547">
      <c r="A547" s="5" t="inlineStr">
        <is>
          <t>ranking_kg1_001</t>
        </is>
      </c>
      <c r="B547" s="5" t="n">
        <v>2</v>
      </c>
      <c r="C547" s="5" t="inlineStr">
        <is>
          <t>ranking_kg1</t>
        </is>
      </c>
      <c r="D547" s="5" t="inlineStr">
        <is>
          <t>flights</t>
        </is>
      </c>
      <c r="E547" s="5" t="inlineStr">
        <is>
          <t>ar</t>
        </is>
      </c>
      <c r="F547" s="5" t="inlineStr">
        <is>
          <t>zero-shot</t>
        </is>
      </c>
      <c r="G547" s="5" t="inlineStr">
        <is>
          <t>ranking_kg1</t>
        </is>
      </c>
      <c r="H547" s="5" t="inlineStr">
        <is>
          <t>open_kg</t>
        </is>
      </c>
      <c r="I547" s="5" t="b">
        <v>0</v>
      </c>
      <c r="J547" s="5" t="b">
        <v>0</v>
      </c>
      <c r="K547" s="5" t="inlineStr">
        <is>
          <t>generation_failure</t>
        </is>
      </c>
      <c r="L547" s="5" t="n"/>
      <c r="M547" s="5" t="n">
        <v>0</v>
      </c>
      <c r="N547" s="5" t="n">
        <v>0</v>
      </c>
      <c r="O547" s="5" t="n">
        <v>37.13</v>
      </c>
    </row>
    <row r="548">
      <c r="A548" s="5" t="inlineStr">
        <is>
          <t>single_kg3_009</t>
        </is>
      </c>
      <c r="B548" s="5" t="n">
        <v>2</v>
      </c>
      <c r="C548" s="5" t="inlineStr">
        <is>
          <t>single_kg3</t>
        </is>
      </c>
      <c r="D548" s="5" t="inlineStr">
        <is>
          <t>university</t>
        </is>
      </c>
      <c r="E548" s="5" t="inlineStr">
        <is>
          <t>en</t>
        </is>
      </c>
      <c r="F548" s="5" t="inlineStr">
        <is>
          <t>zero-shot</t>
        </is>
      </c>
      <c r="G548" s="5" t="n">
        <v/>
      </c>
      <c r="H548" s="5" t="inlineStr">
        <is>
          <t>single_kg3</t>
        </is>
      </c>
      <c r="I548" s="5" t="b">
        <v>0</v>
      </c>
      <c r="J548" s="5" t="b">
        <v>1</v>
      </c>
      <c r="K548" s="5" t="inlineStr">
        <is>
          <t>success</t>
        </is>
      </c>
      <c r="L548" s="5" t="n"/>
      <c r="M548" s="5" t="n">
        <v>1</v>
      </c>
      <c r="N548" s="5" t="n">
        <v>1</v>
      </c>
      <c r="O548" s="5" t="n">
        <v>25.4</v>
      </c>
    </row>
    <row r="549">
      <c r="A549" s="5" t="inlineStr">
        <is>
          <t>single_kg3_009</t>
        </is>
      </c>
      <c r="B549" s="5" t="n">
        <v>2</v>
      </c>
      <c r="C549" s="5" t="inlineStr">
        <is>
          <t>single_kg3</t>
        </is>
      </c>
      <c r="D549" s="5" t="inlineStr">
        <is>
          <t>university</t>
        </is>
      </c>
      <c r="E549" s="5" t="inlineStr">
        <is>
          <t>en</t>
        </is>
      </c>
      <c r="F549" s="5" t="inlineStr">
        <is>
          <t>few-shot</t>
        </is>
      </c>
      <c r="G549" s="5" t="n">
        <v/>
      </c>
      <c r="H549" s="5" t="inlineStr">
        <is>
          <t>single_kg3</t>
        </is>
      </c>
      <c r="I549" s="5" t="b">
        <v>0</v>
      </c>
      <c r="J549" s="5" t="b">
        <v>1</v>
      </c>
      <c r="K549" s="5" t="inlineStr">
        <is>
          <t>success</t>
        </is>
      </c>
      <c r="L549" s="5" t="n"/>
      <c r="M549" s="5" t="n">
        <v>1</v>
      </c>
      <c r="N549" s="5" t="n">
        <v>1</v>
      </c>
      <c r="O549" s="5" t="n">
        <v>12.42</v>
      </c>
    </row>
    <row r="550">
      <c r="A550" s="5" t="inlineStr">
        <is>
          <t>single_kg3_009</t>
        </is>
      </c>
      <c r="B550" s="5" t="n">
        <v>2</v>
      </c>
      <c r="C550" s="5" t="inlineStr">
        <is>
          <t>single_kg3</t>
        </is>
      </c>
      <c r="D550" s="5" t="inlineStr">
        <is>
          <t>university</t>
        </is>
      </c>
      <c r="E550" s="5" t="inlineStr">
        <is>
          <t>en</t>
        </is>
      </c>
      <c r="F550" s="5" t="inlineStr">
        <is>
          <t>cot</t>
        </is>
      </c>
      <c r="G550" s="5" t="n">
        <v/>
      </c>
      <c r="H550" s="5" t="inlineStr">
        <is>
          <t>single_kg3</t>
        </is>
      </c>
      <c r="I550" s="5" t="b">
        <v>0</v>
      </c>
      <c r="J550" s="5" t="b">
        <v>1</v>
      </c>
      <c r="K550" s="5" t="inlineStr">
        <is>
          <t>success</t>
        </is>
      </c>
      <c r="L550" s="5" t="n"/>
      <c r="M550" s="5" t="n">
        <v>1</v>
      </c>
      <c r="N550" s="5" t="n">
        <v>1</v>
      </c>
      <c r="O550" s="5" t="n">
        <v>12.13</v>
      </c>
    </row>
    <row r="551">
      <c r="A551" s="5" t="inlineStr">
        <is>
          <t>single_kg3_009</t>
        </is>
      </c>
      <c r="B551" s="5" t="n">
        <v>2</v>
      </c>
      <c r="C551" s="5" t="inlineStr">
        <is>
          <t>single_kg3</t>
        </is>
      </c>
      <c r="D551" s="5" t="inlineStr">
        <is>
          <t>university</t>
        </is>
      </c>
      <c r="E551" s="5" t="inlineStr">
        <is>
          <t>fr</t>
        </is>
      </c>
      <c r="F551" s="5" t="inlineStr">
        <is>
          <t>zero-shot</t>
        </is>
      </c>
      <c r="G551" s="5" t="n">
        <v/>
      </c>
      <c r="H551" s="5" t="inlineStr">
        <is>
          <t>single_kg3</t>
        </is>
      </c>
      <c r="I551" s="5" t="b">
        <v>0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14.77</v>
      </c>
    </row>
    <row r="552">
      <c r="A552" s="5" t="inlineStr">
        <is>
          <t>single_kg3_009</t>
        </is>
      </c>
      <c r="B552" s="5" t="n">
        <v>2</v>
      </c>
      <c r="C552" s="5" t="inlineStr">
        <is>
          <t>single_kg3</t>
        </is>
      </c>
      <c r="D552" s="5" t="inlineStr">
        <is>
          <t>university</t>
        </is>
      </c>
      <c r="E552" s="5" t="inlineStr">
        <is>
          <t>fr</t>
        </is>
      </c>
      <c r="F552" s="5" t="inlineStr">
        <is>
          <t>few-shot</t>
        </is>
      </c>
      <c r="G552" s="5" t="n">
        <v/>
      </c>
      <c r="H552" s="5" t="inlineStr">
        <is>
          <t>single_kg3</t>
        </is>
      </c>
      <c r="I552" s="5" t="b">
        <v>0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13.1</v>
      </c>
    </row>
    <row r="553">
      <c r="A553" s="5" t="inlineStr">
        <is>
          <t>single_kg3_009</t>
        </is>
      </c>
      <c r="B553" s="5" t="n">
        <v>2</v>
      </c>
      <c r="C553" s="5" t="inlineStr">
        <is>
          <t>single_kg3</t>
        </is>
      </c>
      <c r="D553" s="5" t="inlineStr">
        <is>
          <t>university</t>
        </is>
      </c>
      <c r="E553" s="5" t="inlineStr">
        <is>
          <t>fr</t>
        </is>
      </c>
      <c r="F553" s="5" t="inlineStr">
        <is>
          <t>cot</t>
        </is>
      </c>
      <c r="G553" s="5" t="n">
        <v/>
      </c>
      <c r="H553" s="5" t="inlineStr">
        <is>
          <t>single_kg3</t>
        </is>
      </c>
      <c r="I553" s="5" t="b">
        <v>0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13.21</v>
      </c>
    </row>
    <row r="554">
      <c r="A554" s="5" t="inlineStr">
        <is>
          <t>single_kg3_009</t>
        </is>
      </c>
      <c r="B554" s="5" t="n">
        <v>2</v>
      </c>
      <c r="C554" s="5" t="inlineStr">
        <is>
          <t>single_kg3</t>
        </is>
      </c>
      <c r="D554" s="5" t="inlineStr">
        <is>
          <t>university</t>
        </is>
      </c>
      <c r="E554" s="5" t="inlineStr">
        <is>
          <t>ar</t>
        </is>
      </c>
      <c r="F554" s="5" t="inlineStr">
        <is>
          <t>zero-shot</t>
        </is>
      </c>
      <c r="G554" s="5" t="n">
        <v/>
      </c>
      <c r="H554" s="5" t="inlineStr">
        <is>
          <t>single_kg3</t>
        </is>
      </c>
      <c r="I554" s="5" t="b">
        <v>0</v>
      </c>
      <c r="J554" s="5" t="b">
        <v>1</v>
      </c>
      <c r="K554" s="5" t="inlineStr">
        <is>
          <t>success</t>
        </is>
      </c>
      <c r="L554" s="5" t="n"/>
      <c r="M554" s="5" t="n">
        <v>1</v>
      </c>
      <c r="N554" s="5" t="n">
        <v>1</v>
      </c>
      <c r="O554" s="5" t="n">
        <v>14.8</v>
      </c>
    </row>
    <row r="555">
      <c r="A555" s="5" t="inlineStr">
        <is>
          <t>single_kg3_009</t>
        </is>
      </c>
      <c r="B555" s="5" t="n">
        <v>2</v>
      </c>
      <c r="C555" s="5" t="inlineStr">
        <is>
          <t>single_kg3</t>
        </is>
      </c>
      <c r="D555" s="5" t="inlineStr">
        <is>
          <t>university</t>
        </is>
      </c>
      <c r="E555" s="5" t="inlineStr">
        <is>
          <t>ar</t>
        </is>
      </c>
      <c r="F555" s="5" t="inlineStr">
        <is>
          <t>few-shot</t>
        </is>
      </c>
      <c r="G555" s="5" t="n">
        <v/>
      </c>
      <c r="H555" s="5" t="inlineStr">
        <is>
          <t>single_kg3</t>
        </is>
      </c>
      <c r="I555" s="5" t="b">
        <v>0</v>
      </c>
      <c r="J555" s="5" t="b">
        <v>1</v>
      </c>
      <c r="K555" s="5" t="inlineStr">
        <is>
          <t>success</t>
        </is>
      </c>
      <c r="L555" s="5" t="n"/>
      <c r="M555" s="5" t="n">
        <v>1</v>
      </c>
      <c r="N555" s="5" t="n">
        <v>1</v>
      </c>
      <c r="O555" s="5" t="n">
        <v>13.35</v>
      </c>
    </row>
    <row r="556">
      <c r="A556" s="5" t="inlineStr">
        <is>
          <t>single_kg3_009</t>
        </is>
      </c>
      <c r="B556" s="5" t="n">
        <v>2</v>
      </c>
      <c r="C556" s="5" t="inlineStr">
        <is>
          <t>single_kg3</t>
        </is>
      </c>
      <c r="D556" s="5" t="inlineStr">
        <is>
          <t>university</t>
        </is>
      </c>
      <c r="E556" s="5" t="inlineStr">
        <is>
          <t>ar</t>
        </is>
      </c>
      <c r="F556" s="5" t="inlineStr">
        <is>
          <t>cot</t>
        </is>
      </c>
      <c r="G556" s="5" t="n">
        <v/>
      </c>
      <c r="H556" s="5" t="inlineStr">
        <is>
          <t>single_kg3</t>
        </is>
      </c>
      <c r="I556" s="5" t="b">
        <v>0</v>
      </c>
      <c r="J556" s="5" t="b">
        <v>1</v>
      </c>
      <c r="K556" s="5" t="inlineStr">
        <is>
          <t>success</t>
        </is>
      </c>
      <c r="L556" s="5" t="n"/>
      <c r="M556" s="5" t="n">
        <v>1</v>
      </c>
      <c r="N556" s="5" t="n">
        <v>1</v>
      </c>
      <c r="O556" s="5" t="n">
        <v>13.69</v>
      </c>
    </row>
    <row r="557">
      <c r="A557" s="5" t="inlineStr">
        <is>
          <t>ranking_kg3_001</t>
        </is>
      </c>
      <c r="B557" s="5" t="n">
        <v>2</v>
      </c>
      <c r="C557" s="5" t="inlineStr">
        <is>
          <t>ranking_kg3</t>
        </is>
      </c>
      <c r="D557" s="5" t="inlineStr">
        <is>
          <t>university</t>
        </is>
      </c>
      <c r="E557" s="5" t="inlineStr">
        <is>
          <t>en</t>
        </is>
      </c>
      <c r="F557" s="5" t="inlineStr">
        <is>
          <t>zero-shot</t>
        </is>
      </c>
      <c r="G557" s="5" t="inlineStr">
        <is>
          <t>ranking_kg3</t>
        </is>
      </c>
      <c r="H557" s="5" t="inlineStr">
        <is>
          <t>open_kg</t>
        </is>
      </c>
      <c r="I557" s="5" t="b">
        <v>0</v>
      </c>
      <c r="J557" s="5" t="b">
        <v>0</v>
      </c>
      <c r="K557" s="5" t="inlineStr">
        <is>
          <t>generation_failure</t>
        </is>
      </c>
      <c r="L557" s="5" t="n"/>
      <c r="M557" s="5" t="n">
        <v>0</v>
      </c>
      <c r="N557" s="5" t="n">
        <v>0</v>
      </c>
      <c r="O557" s="5" t="n">
        <v>76.8</v>
      </c>
    </row>
    <row r="558">
      <c r="A558" s="5" t="inlineStr">
        <is>
          <t>ranking_kg3_001</t>
        </is>
      </c>
      <c r="B558" s="5" t="n">
        <v>2</v>
      </c>
      <c r="C558" s="5" t="inlineStr">
        <is>
          <t>ranking_kg3</t>
        </is>
      </c>
      <c r="D558" s="5" t="inlineStr">
        <is>
          <t>university</t>
        </is>
      </c>
      <c r="E558" s="5" t="inlineStr">
        <is>
          <t>fr</t>
        </is>
      </c>
      <c r="F558" s="5" t="inlineStr">
        <is>
          <t>zero-shot</t>
        </is>
      </c>
      <c r="G558" s="5" t="inlineStr">
        <is>
          <t>ranking_kg3</t>
        </is>
      </c>
      <c r="H558" s="5" t="inlineStr">
        <is>
          <t>template</t>
        </is>
      </c>
      <c r="I558" s="5" t="b">
        <v>0</v>
      </c>
      <c r="J558" s="5" t="b">
        <v>1</v>
      </c>
      <c r="K558" s="5" t="inlineStr">
        <is>
          <t>success</t>
        </is>
      </c>
      <c r="L558" s="5" t="n"/>
      <c r="M558" s="5" t="n">
        <v>0</v>
      </c>
      <c r="N558" s="5" t="n">
        <v>0</v>
      </c>
      <c r="O558" s="5" t="n">
        <v>12.28</v>
      </c>
    </row>
    <row r="559">
      <c r="A559" s="5" t="inlineStr">
        <is>
          <t>ranking_kg3_001</t>
        </is>
      </c>
      <c r="B559" s="5" t="n">
        <v>2</v>
      </c>
      <c r="C559" s="5" t="inlineStr">
        <is>
          <t>ranking_kg3</t>
        </is>
      </c>
      <c r="D559" s="5" t="inlineStr">
        <is>
          <t>university</t>
        </is>
      </c>
      <c r="E559" s="5" t="inlineStr">
        <is>
          <t>ar</t>
        </is>
      </c>
      <c r="F559" s="5" t="inlineStr">
        <is>
          <t>zero-shot</t>
        </is>
      </c>
      <c r="G559" s="5" t="inlineStr">
        <is>
          <t>ranking_kg3</t>
        </is>
      </c>
      <c r="H559" s="5" t="inlineStr">
        <is>
          <t>open_kg</t>
        </is>
      </c>
      <c r="I559" s="5" t="b">
        <v>0</v>
      </c>
      <c r="J559" s="5" t="b">
        <v>0</v>
      </c>
      <c r="K559" s="5" t="inlineStr">
        <is>
          <t>generation_failure</t>
        </is>
      </c>
      <c r="L559" s="5" t="n"/>
      <c r="M559" s="5" t="n">
        <v>0</v>
      </c>
      <c r="N559" s="5" t="n">
        <v>0</v>
      </c>
      <c r="O559" s="5" t="n">
        <v>68.23999999999999</v>
      </c>
    </row>
    <row r="560">
      <c r="A560" s="5" t="inlineStr">
        <is>
          <t>count_kg2_001</t>
        </is>
      </c>
      <c r="B560" s="5" t="n">
        <v>2</v>
      </c>
      <c r="C560" s="5" t="inlineStr">
        <is>
          <t>count_kg2</t>
        </is>
      </c>
      <c r="D560" s="5" t="inlineStr">
        <is>
          <t>airports</t>
        </is>
      </c>
      <c r="E560" s="5" t="inlineStr">
        <is>
          <t>en</t>
        </is>
      </c>
      <c r="F560" s="5" t="inlineStr">
        <is>
          <t>zero-shot</t>
        </is>
      </c>
      <c r="G560" s="5" t="inlineStr">
        <is>
          <t>count_kg2</t>
        </is>
      </c>
      <c r="H560" s="5" t="inlineStr">
        <is>
          <t>template</t>
        </is>
      </c>
      <c r="I560" s="5" t="b">
        <v>0</v>
      </c>
      <c r="J560" s="5" t="b">
        <v>1</v>
      </c>
      <c r="K560" s="5" t="inlineStr">
        <is>
          <t>success</t>
        </is>
      </c>
      <c r="L560" s="5" t="n"/>
      <c r="M560" s="5" t="n">
        <v>0</v>
      </c>
      <c r="N560" s="5" t="n">
        <v>0</v>
      </c>
      <c r="O560" s="5" t="n">
        <v>15.89</v>
      </c>
    </row>
    <row r="561">
      <c r="A561" s="5" t="inlineStr">
        <is>
          <t>count_kg2_001</t>
        </is>
      </c>
      <c r="B561" s="5" t="n">
        <v>2</v>
      </c>
      <c r="C561" s="5" t="inlineStr">
        <is>
          <t>count_kg2</t>
        </is>
      </c>
      <c r="D561" s="5" t="inlineStr">
        <is>
          <t>airports</t>
        </is>
      </c>
      <c r="E561" s="5" t="inlineStr">
        <is>
          <t>fr</t>
        </is>
      </c>
      <c r="F561" s="5" t="inlineStr">
        <is>
          <t>zero-shot</t>
        </is>
      </c>
      <c r="G561" s="5" t="inlineStr">
        <is>
          <t>count_kg2</t>
        </is>
      </c>
      <c r="H561" s="5" t="inlineStr">
        <is>
          <t>template</t>
        </is>
      </c>
      <c r="I561" s="5" t="b">
        <v>0</v>
      </c>
      <c r="J561" s="5" t="b">
        <v>1</v>
      </c>
      <c r="K561" s="5" t="inlineStr">
        <is>
          <t>success</t>
        </is>
      </c>
      <c r="L561" s="5" t="n"/>
      <c r="M561" s="5" t="n">
        <v>0</v>
      </c>
      <c r="N561" s="5" t="n">
        <v>0</v>
      </c>
      <c r="O561" s="5" t="n">
        <v>21</v>
      </c>
    </row>
    <row r="562">
      <c r="A562" s="5" t="inlineStr">
        <is>
          <t>count_kg2_001</t>
        </is>
      </c>
      <c r="B562" s="5" t="n">
        <v>2</v>
      </c>
      <c r="C562" s="5" t="inlineStr">
        <is>
          <t>count_kg2</t>
        </is>
      </c>
      <c r="D562" s="5" t="inlineStr">
        <is>
          <t>airports</t>
        </is>
      </c>
      <c r="E562" s="5" t="inlineStr">
        <is>
          <t>ar</t>
        </is>
      </c>
      <c r="F562" s="5" t="inlineStr">
        <is>
          <t>zero-shot</t>
        </is>
      </c>
      <c r="G562" s="5" t="inlineStr">
        <is>
          <t>count_kg2</t>
        </is>
      </c>
      <c r="H562" s="5" t="inlineStr">
        <is>
          <t>template</t>
        </is>
      </c>
      <c r="I562" s="5" t="b">
        <v>0</v>
      </c>
      <c r="J562" s="5" t="b">
        <v>1</v>
      </c>
      <c r="K562" s="5" t="inlineStr">
        <is>
          <t>success</t>
        </is>
      </c>
      <c r="L562" s="5" t="n"/>
      <c r="M562" s="5" t="n">
        <v>0</v>
      </c>
      <c r="N562" s="5" t="n">
        <v>0</v>
      </c>
      <c r="O562" s="5" t="n">
        <v>15.93</v>
      </c>
    </row>
    <row r="563">
      <c r="A563" s="5" t="inlineStr">
        <is>
          <t>compare_two_flights_001</t>
        </is>
      </c>
      <c r="B563" s="5" t="n">
        <v>2</v>
      </c>
      <c r="C563" s="5" t="inlineStr">
        <is>
          <t>compare_two_flights</t>
        </is>
      </c>
      <c r="D563" s="5" t="inlineStr">
        <is>
          <t>flights</t>
        </is>
      </c>
      <c r="E563" s="5" t="inlineStr">
        <is>
          <t>en</t>
        </is>
      </c>
      <c r="F563" s="5" t="inlineStr">
        <is>
          <t>zero-shot</t>
        </is>
      </c>
      <c r="G563" s="5" t="inlineStr">
        <is>
          <t>compare_two_flights</t>
        </is>
      </c>
      <c r="H563" s="5" t="inlineStr">
        <is>
          <t>open_kg</t>
        </is>
      </c>
      <c r="I563" s="5" t="b">
        <v>0</v>
      </c>
      <c r="J563" s="5" t="b">
        <v>1</v>
      </c>
      <c r="K563" s="5" t="inlineStr">
        <is>
          <t>success</t>
        </is>
      </c>
      <c r="L563" s="5" t="n"/>
      <c r="M563" s="5" t="n">
        <v>0</v>
      </c>
      <c r="N563" s="5" t="n">
        <v>0</v>
      </c>
      <c r="O563" s="5" t="n">
        <v>55.99</v>
      </c>
    </row>
    <row r="564">
      <c r="A564" s="5" t="inlineStr">
        <is>
          <t>compare_two_flights_001</t>
        </is>
      </c>
      <c r="B564" s="5" t="n">
        <v>2</v>
      </c>
      <c r="C564" s="5" t="inlineStr">
        <is>
          <t>compare_two_flights</t>
        </is>
      </c>
      <c r="D564" s="5" t="inlineStr">
        <is>
          <t>flights</t>
        </is>
      </c>
      <c r="E564" s="5" t="inlineStr">
        <is>
          <t>fr</t>
        </is>
      </c>
      <c r="F564" s="5" t="inlineStr">
        <is>
          <t>zero-shot</t>
        </is>
      </c>
      <c r="G564" s="5" t="inlineStr">
        <is>
          <t>compare_two_flights</t>
        </is>
      </c>
      <c r="H564" s="5" t="inlineStr">
        <is>
          <t>open_kg</t>
        </is>
      </c>
      <c r="I564" s="5" t="b">
        <v>0</v>
      </c>
      <c r="J564" s="5" t="b">
        <v>1</v>
      </c>
      <c r="K564" s="5" t="inlineStr">
        <is>
          <t>success</t>
        </is>
      </c>
      <c r="L564" s="5" t="n"/>
      <c r="M564" s="5" t="n">
        <v>0</v>
      </c>
      <c r="N564" s="5" t="n">
        <v>0</v>
      </c>
      <c r="O564" s="5" t="n">
        <v>81.94</v>
      </c>
    </row>
    <row r="565">
      <c r="A565" s="5" t="inlineStr">
        <is>
          <t>compare_two_flights_001</t>
        </is>
      </c>
      <c r="B565" s="5" t="n">
        <v>2</v>
      </c>
      <c r="C565" s="5" t="inlineStr">
        <is>
          <t>compare_two_flights</t>
        </is>
      </c>
      <c r="D565" s="5" t="inlineStr">
        <is>
          <t>flights</t>
        </is>
      </c>
      <c r="E565" s="5" t="inlineStr">
        <is>
          <t>ar</t>
        </is>
      </c>
      <c r="F565" s="5" t="inlineStr">
        <is>
          <t>zero-shot</t>
        </is>
      </c>
      <c r="G565" s="5" t="inlineStr">
        <is>
          <t>compare_two_flights</t>
        </is>
      </c>
      <c r="H565" s="5" t="inlineStr">
        <is>
          <t>open_kg</t>
        </is>
      </c>
      <c r="I565" s="5" t="b">
        <v>0</v>
      </c>
      <c r="J565" s="5" t="b">
        <v>0</v>
      </c>
      <c r="K565" s="5" t="inlineStr">
        <is>
          <t>generation_failure</t>
        </is>
      </c>
      <c r="L565" s="5" t="n"/>
      <c r="M565" s="5" t="n">
        <v>0</v>
      </c>
      <c r="N565" s="5" t="n">
        <v>0</v>
      </c>
      <c r="O565" s="5" t="n">
        <v>65.08</v>
      </c>
    </row>
    <row r="566">
      <c r="A566" s="5" t="inlineStr">
        <is>
          <t>filter_numeric_kg3_002</t>
        </is>
      </c>
      <c r="B566" s="5" t="n">
        <v>1</v>
      </c>
      <c r="C566" s="5" t="inlineStr">
        <is>
          <t>filter_numeric_kg3</t>
        </is>
      </c>
      <c r="D566" s="5" t="inlineStr">
        <is>
          <t>university</t>
        </is>
      </c>
      <c r="E566" s="5" t="inlineStr">
        <is>
          <t>en</t>
        </is>
      </c>
      <c r="F566" s="5" t="inlineStr">
        <is>
          <t>zero-shot</t>
        </is>
      </c>
      <c r="G566" s="5" t="inlineStr">
        <is>
          <t>filter_numeric_kg3</t>
        </is>
      </c>
      <c r="H566" s="5" t="inlineStr">
        <is>
          <t>template</t>
        </is>
      </c>
      <c r="I566" s="5" t="b">
        <v>0</v>
      </c>
      <c r="J566" s="5" t="b">
        <v>0</v>
      </c>
      <c r="K566" s="5" t="inlineStr">
        <is>
          <t>sparql_build_failure</t>
        </is>
      </c>
      <c r="L566" s="5" t="inlineStr">
        <is>
          <t>params={'property': 'size', 'value': '&lt;420', 'direction': 'incoming', 'mode': 'list'}</t>
        </is>
      </c>
      <c r="M566" s="5" t="n">
        <v>0</v>
      </c>
      <c r="N566" s="5" t="n">
        <v>0</v>
      </c>
      <c r="O566" s="5" t="n">
        <v>17.58</v>
      </c>
    </row>
    <row r="567">
      <c r="A567" s="5" t="inlineStr">
        <is>
          <t>filter_numeric_kg3_002</t>
        </is>
      </c>
      <c r="B567" s="5" t="n">
        <v>1</v>
      </c>
      <c r="C567" s="5" t="inlineStr">
        <is>
          <t>filter_numeric_kg3</t>
        </is>
      </c>
      <c r="D567" s="5" t="inlineStr">
        <is>
          <t>university</t>
        </is>
      </c>
      <c r="E567" s="5" t="inlineStr">
        <is>
          <t>fr</t>
        </is>
      </c>
      <c r="F567" s="5" t="inlineStr">
        <is>
          <t>zero-shot</t>
        </is>
      </c>
      <c r="G567" s="5" t="inlineStr">
        <is>
          <t>filter_numeric_kg3</t>
        </is>
      </c>
      <c r="H567" s="5" t="inlineStr">
        <is>
          <t>template</t>
        </is>
      </c>
      <c r="I567" s="5" t="b">
        <v>0</v>
      </c>
      <c r="J567" s="5" t="b">
        <v>1</v>
      </c>
      <c r="K567" s="5" t="inlineStr">
        <is>
          <t>success</t>
        </is>
      </c>
      <c r="L567" s="5" t="n"/>
      <c r="M567" s="5" t="n">
        <v>0</v>
      </c>
      <c r="N567" s="5" t="n">
        <v>0</v>
      </c>
      <c r="O567" s="5" t="n">
        <v>12.67</v>
      </c>
    </row>
    <row r="568">
      <c r="A568" s="5" t="inlineStr">
        <is>
          <t>filter_numeric_kg3_002</t>
        </is>
      </c>
      <c r="B568" s="5" t="n">
        <v>1</v>
      </c>
      <c r="C568" s="5" t="inlineStr">
        <is>
          <t>filter_numeric_kg3</t>
        </is>
      </c>
      <c r="D568" s="5" t="inlineStr">
        <is>
          <t>university</t>
        </is>
      </c>
      <c r="E568" s="5" t="inlineStr">
        <is>
          <t>ar</t>
        </is>
      </c>
      <c r="F568" s="5" t="inlineStr">
        <is>
          <t>zero-shot</t>
        </is>
      </c>
      <c r="G568" s="5" t="inlineStr">
        <is>
          <t>filter_numeric_kg3</t>
        </is>
      </c>
      <c r="H568" s="5" t="inlineStr">
        <is>
          <t>template</t>
        </is>
      </c>
      <c r="I568" s="5" t="b">
        <v>0</v>
      </c>
      <c r="J568" s="5" t="b">
        <v>1</v>
      </c>
      <c r="K568" s="5" t="inlineStr">
        <is>
          <t>success</t>
        </is>
      </c>
      <c r="L568" s="5" t="n"/>
      <c r="M568" s="5" t="n">
        <v>0</v>
      </c>
      <c r="N568" s="5" t="n">
        <v>0</v>
      </c>
      <c r="O568" s="5" t="n">
        <v>10.79</v>
      </c>
    </row>
    <row r="569">
      <c r="A569" s="5" t="inlineStr">
        <is>
          <t>filter_numeric_kg3_003</t>
        </is>
      </c>
      <c r="B569" s="5" t="n">
        <v>1</v>
      </c>
      <c r="C569" s="5" t="inlineStr">
        <is>
          <t>filter_numeric_kg3</t>
        </is>
      </c>
      <c r="D569" s="5" t="inlineStr">
        <is>
          <t>university</t>
        </is>
      </c>
      <c r="E569" s="5" t="inlineStr">
        <is>
          <t>en</t>
        </is>
      </c>
      <c r="F569" s="5" t="inlineStr">
        <is>
          <t>zero-shot</t>
        </is>
      </c>
      <c r="G569" s="5" t="inlineStr">
        <is>
          <t>filter_numeric_kg3</t>
        </is>
      </c>
      <c r="H569" s="5" t="inlineStr">
        <is>
          <t>out_of_scope</t>
        </is>
      </c>
      <c r="I569" s="5" t="b">
        <v>0</v>
      </c>
      <c r="J569" s="5" t="b">
        <v>0</v>
      </c>
      <c r="K569" s="5" t="inlineStr">
        <is>
          <t>routing_miss</t>
        </is>
      </c>
      <c r="L569" s="5" t="n"/>
      <c r="M569" s="5" t="n">
        <v>0</v>
      </c>
      <c r="N569" s="5" t="n">
        <v>0</v>
      </c>
      <c r="O569" s="5" t="n">
        <v>21.11</v>
      </c>
    </row>
    <row r="570">
      <c r="A570" s="5" t="inlineStr">
        <is>
          <t>filter_numeric_kg3_003</t>
        </is>
      </c>
      <c r="B570" s="5" t="n">
        <v>1</v>
      </c>
      <c r="C570" s="5" t="inlineStr">
        <is>
          <t>filter_numeric_kg3</t>
        </is>
      </c>
      <c r="D570" s="5" t="inlineStr">
        <is>
          <t>university</t>
        </is>
      </c>
      <c r="E570" s="5" t="inlineStr">
        <is>
          <t>fr</t>
        </is>
      </c>
      <c r="F570" s="5" t="inlineStr">
        <is>
          <t>zero-shot</t>
        </is>
      </c>
      <c r="G570" s="5" t="inlineStr">
        <is>
          <t>filter_numeric_kg3</t>
        </is>
      </c>
      <c r="H570" s="5" t="inlineStr">
        <is>
          <t>out_of_scope</t>
        </is>
      </c>
      <c r="I570" s="5" t="b">
        <v>0</v>
      </c>
      <c r="J570" s="5" t="b">
        <v>0</v>
      </c>
      <c r="K570" s="5" t="inlineStr">
        <is>
          <t>routing_miss</t>
        </is>
      </c>
      <c r="L570" s="5" t="n"/>
      <c r="M570" s="5" t="n">
        <v>0</v>
      </c>
      <c r="N570" s="5" t="n">
        <v>0</v>
      </c>
      <c r="O570" s="5" t="n">
        <v>14.57</v>
      </c>
    </row>
    <row r="571">
      <c r="A571" s="5" t="inlineStr">
        <is>
          <t>filter_numeric_kg3_003</t>
        </is>
      </c>
      <c r="B571" s="5" t="n">
        <v>1</v>
      </c>
      <c r="C571" s="5" t="inlineStr">
        <is>
          <t>filter_numeric_kg3</t>
        </is>
      </c>
      <c r="D571" s="5" t="inlineStr">
        <is>
          <t>university</t>
        </is>
      </c>
      <c r="E571" s="5" t="inlineStr">
        <is>
          <t>ar</t>
        </is>
      </c>
      <c r="F571" s="5" t="inlineStr">
        <is>
          <t>zero-shot</t>
        </is>
      </c>
      <c r="G571" s="5" t="inlineStr">
        <is>
          <t>filter_numeric_kg3</t>
        </is>
      </c>
      <c r="H571" s="5" t="inlineStr">
        <is>
          <t>out_of_scope</t>
        </is>
      </c>
      <c r="I571" s="5" t="b">
        <v>0</v>
      </c>
      <c r="J571" s="5" t="b">
        <v>0</v>
      </c>
      <c r="K571" s="5" t="inlineStr">
        <is>
          <t>routing_miss</t>
        </is>
      </c>
      <c r="L571" s="5" t="n"/>
      <c r="M571" s="5" t="n">
        <v>0</v>
      </c>
      <c r="N571" s="5" t="n">
        <v>0</v>
      </c>
      <c r="O571" s="5" t="n">
        <v>11.55</v>
      </c>
    </row>
    <row r="572">
      <c r="A572" s="5" t="inlineStr">
        <is>
          <t>single_kg3_010</t>
        </is>
      </c>
      <c r="B572" s="5" t="n">
        <v>1</v>
      </c>
      <c r="C572" s="5" t="inlineStr">
        <is>
          <t>single_kg3</t>
        </is>
      </c>
      <c r="D572" s="5" t="inlineStr">
        <is>
          <t>university</t>
        </is>
      </c>
      <c r="E572" s="5" t="inlineStr">
        <is>
          <t>en</t>
        </is>
      </c>
      <c r="F572" s="5" t="inlineStr">
        <is>
          <t>zero-shot</t>
        </is>
      </c>
      <c r="G572" s="5" t="inlineStr">
        <is>
          <t>single_kg3</t>
        </is>
      </c>
      <c r="H572" s="5" t="inlineStr">
        <is>
          <t>single_kg3</t>
        </is>
      </c>
      <c r="I572" s="5" t="b">
        <v>1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17.11</v>
      </c>
    </row>
    <row r="573">
      <c r="A573" s="5" t="inlineStr">
        <is>
          <t>single_kg3_010</t>
        </is>
      </c>
      <c r="B573" s="5" t="n">
        <v>1</v>
      </c>
      <c r="C573" s="5" t="inlineStr">
        <is>
          <t>single_kg3</t>
        </is>
      </c>
      <c r="D573" s="5" t="inlineStr">
        <is>
          <t>university</t>
        </is>
      </c>
      <c r="E573" s="5" t="inlineStr">
        <is>
          <t>en</t>
        </is>
      </c>
      <c r="F573" s="5" t="inlineStr">
        <is>
          <t>few-shot</t>
        </is>
      </c>
      <c r="G573" s="5" t="inlineStr">
        <is>
          <t>single_kg3</t>
        </is>
      </c>
      <c r="H573" s="5" t="inlineStr">
        <is>
          <t>single_kg3</t>
        </is>
      </c>
      <c r="I573" s="5" t="b">
        <v>1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12.6</v>
      </c>
    </row>
    <row r="574">
      <c r="A574" s="5" t="inlineStr">
        <is>
          <t>single_kg3_010</t>
        </is>
      </c>
      <c r="B574" s="5" t="n">
        <v>1</v>
      </c>
      <c r="C574" s="5" t="inlineStr">
        <is>
          <t>single_kg3</t>
        </is>
      </c>
      <c r="D574" s="5" t="inlineStr">
        <is>
          <t>university</t>
        </is>
      </c>
      <c r="E574" s="5" t="inlineStr">
        <is>
          <t>en</t>
        </is>
      </c>
      <c r="F574" s="5" t="inlineStr">
        <is>
          <t>cot</t>
        </is>
      </c>
      <c r="G574" s="5" t="inlineStr">
        <is>
          <t>single_kg3</t>
        </is>
      </c>
      <c r="H574" s="5" t="inlineStr">
        <is>
          <t>single_kg3</t>
        </is>
      </c>
      <c r="I574" s="5" t="b">
        <v>1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13.03</v>
      </c>
    </row>
    <row r="575">
      <c r="A575" s="5" t="inlineStr">
        <is>
          <t>single_kg3_010</t>
        </is>
      </c>
      <c r="B575" s="5" t="n">
        <v>1</v>
      </c>
      <c r="C575" s="5" t="inlineStr">
        <is>
          <t>single_kg3</t>
        </is>
      </c>
      <c r="D575" s="5" t="inlineStr">
        <is>
          <t>university</t>
        </is>
      </c>
      <c r="E575" s="5" t="inlineStr">
        <is>
          <t>fr</t>
        </is>
      </c>
      <c r="F575" s="5" t="inlineStr">
        <is>
          <t>zero-shot</t>
        </is>
      </c>
      <c r="G575" s="5" t="inlineStr">
        <is>
          <t>single_kg3</t>
        </is>
      </c>
      <c r="H575" s="5" t="inlineStr">
        <is>
          <t>single_kg3</t>
        </is>
      </c>
      <c r="I575" s="5" t="b">
        <v>1</v>
      </c>
      <c r="J575" s="5" t="b">
        <v>1</v>
      </c>
      <c r="K575" s="5" t="inlineStr">
        <is>
          <t>success</t>
        </is>
      </c>
      <c r="L575" s="5" t="n"/>
      <c r="M575" s="5" t="n">
        <v>1</v>
      </c>
      <c r="N575" s="5" t="n">
        <v>1</v>
      </c>
      <c r="O575" s="5" t="n">
        <v>12.46</v>
      </c>
    </row>
    <row r="576">
      <c r="A576" s="5" t="inlineStr">
        <is>
          <t>single_kg3_010</t>
        </is>
      </c>
      <c r="B576" s="5" t="n">
        <v>1</v>
      </c>
      <c r="C576" s="5" t="inlineStr">
        <is>
          <t>single_kg3</t>
        </is>
      </c>
      <c r="D576" s="5" t="inlineStr">
        <is>
          <t>university</t>
        </is>
      </c>
      <c r="E576" s="5" t="inlineStr">
        <is>
          <t>fr</t>
        </is>
      </c>
      <c r="F576" s="5" t="inlineStr">
        <is>
          <t>few-shot</t>
        </is>
      </c>
      <c r="G576" s="5" t="inlineStr">
        <is>
          <t>single_kg3</t>
        </is>
      </c>
      <c r="H576" s="5" t="inlineStr">
        <is>
          <t>single_kg3</t>
        </is>
      </c>
      <c r="I576" s="5" t="b">
        <v>1</v>
      </c>
      <c r="J576" s="5" t="b">
        <v>1</v>
      </c>
      <c r="K576" s="5" t="inlineStr">
        <is>
          <t>success</t>
        </is>
      </c>
      <c r="L576" s="5" t="n"/>
      <c r="M576" s="5" t="n">
        <v>1</v>
      </c>
      <c r="N576" s="5" t="n">
        <v>1</v>
      </c>
      <c r="O576" s="5" t="n">
        <v>12.24</v>
      </c>
    </row>
    <row r="577">
      <c r="A577" s="5" t="inlineStr">
        <is>
          <t>single_kg3_010</t>
        </is>
      </c>
      <c r="B577" s="5" t="n">
        <v>1</v>
      </c>
      <c r="C577" s="5" t="inlineStr">
        <is>
          <t>single_kg3</t>
        </is>
      </c>
      <c r="D577" s="5" t="inlineStr">
        <is>
          <t>university</t>
        </is>
      </c>
      <c r="E577" s="5" t="inlineStr">
        <is>
          <t>fr</t>
        </is>
      </c>
      <c r="F577" s="5" t="inlineStr">
        <is>
          <t>cot</t>
        </is>
      </c>
      <c r="G577" s="5" t="inlineStr">
        <is>
          <t>single_kg3</t>
        </is>
      </c>
      <c r="H577" s="5" t="inlineStr">
        <is>
          <t>single_kg3</t>
        </is>
      </c>
      <c r="I577" s="5" t="b">
        <v>1</v>
      </c>
      <c r="J577" s="5" t="b">
        <v>1</v>
      </c>
      <c r="K577" s="5" t="inlineStr">
        <is>
          <t>success</t>
        </is>
      </c>
      <c r="L577" s="5" t="n"/>
      <c r="M577" s="5" t="n">
        <v>1</v>
      </c>
      <c r="N577" s="5" t="n">
        <v>1</v>
      </c>
      <c r="O577" s="5" t="n">
        <v>13.66</v>
      </c>
    </row>
    <row r="578">
      <c r="A578" s="5" t="inlineStr">
        <is>
          <t>single_kg3_010</t>
        </is>
      </c>
      <c r="B578" s="5" t="n">
        <v>1</v>
      </c>
      <c r="C578" s="5" t="inlineStr">
        <is>
          <t>single_kg3</t>
        </is>
      </c>
      <c r="D578" s="5" t="inlineStr">
        <is>
          <t>university</t>
        </is>
      </c>
      <c r="E578" s="5" t="inlineStr">
        <is>
          <t>ar</t>
        </is>
      </c>
      <c r="F578" s="5" t="inlineStr">
        <is>
          <t>zero-shot</t>
        </is>
      </c>
      <c r="G578" s="5" t="inlineStr">
        <is>
          <t>single_kg3</t>
        </is>
      </c>
      <c r="H578" s="5" t="inlineStr">
        <is>
          <t>single_kg3</t>
        </is>
      </c>
      <c r="I578" s="5" t="b">
        <v>1</v>
      </c>
      <c r="J578" s="5" t="b">
        <v>1</v>
      </c>
      <c r="K578" s="5" t="inlineStr">
        <is>
          <t>success</t>
        </is>
      </c>
      <c r="L578" s="5" t="n"/>
      <c r="M578" s="5" t="n">
        <v>1</v>
      </c>
      <c r="N578" s="5" t="n">
        <v>1</v>
      </c>
      <c r="O578" s="5" t="n">
        <v>12.81</v>
      </c>
    </row>
    <row r="579">
      <c r="A579" s="5" t="inlineStr">
        <is>
          <t>single_kg3_010</t>
        </is>
      </c>
      <c r="B579" s="5" t="n">
        <v>1</v>
      </c>
      <c r="C579" s="5" t="inlineStr">
        <is>
          <t>single_kg3</t>
        </is>
      </c>
      <c r="D579" s="5" t="inlineStr">
        <is>
          <t>university</t>
        </is>
      </c>
      <c r="E579" s="5" t="inlineStr">
        <is>
          <t>ar</t>
        </is>
      </c>
      <c r="F579" s="5" t="inlineStr">
        <is>
          <t>few-shot</t>
        </is>
      </c>
      <c r="G579" s="5" t="inlineStr">
        <is>
          <t>single_kg3</t>
        </is>
      </c>
      <c r="H579" s="5" t="inlineStr">
        <is>
          <t>single_kg3</t>
        </is>
      </c>
      <c r="I579" s="5" t="b">
        <v>1</v>
      </c>
      <c r="J579" s="5" t="b">
        <v>1</v>
      </c>
      <c r="K579" s="5" t="inlineStr">
        <is>
          <t>success</t>
        </is>
      </c>
      <c r="L579" s="5" t="n"/>
      <c r="M579" s="5" t="n">
        <v>1</v>
      </c>
      <c r="N579" s="5" t="n">
        <v>1</v>
      </c>
      <c r="O579" s="5" t="n">
        <v>13.71</v>
      </c>
    </row>
    <row r="580">
      <c r="A580" s="5" t="inlineStr">
        <is>
          <t>single_kg3_010</t>
        </is>
      </c>
      <c r="B580" s="5" t="n">
        <v>1</v>
      </c>
      <c r="C580" s="5" t="inlineStr">
        <is>
          <t>single_kg3</t>
        </is>
      </c>
      <c r="D580" s="5" t="inlineStr">
        <is>
          <t>university</t>
        </is>
      </c>
      <c r="E580" s="5" t="inlineStr">
        <is>
          <t>ar</t>
        </is>
      </c>
      <c r="F580" s="5" t="inlineStr">
        <is>
          <t>cot</t>
        </is>
      </c>
      <c r="G580" s="5" t="inlineStr">
        <is>
          <t>single_kg3</t>
        </is>
      </c>
      <c r="H580" s="5" t="inlineStr">
        <is>
          <t>single_kg3</t>
        </is>
      </c>
      <c r="I580" s="5" t="b">
        <v>1</v>
      </c>
      <c r="J580" s="5" t="b">
        <v>1</v>
      </c>
      <c r="K580" s="5" t="inlineStr">
        <is>
          <t>success</t>
        </is>
      </c>
      <c r="L580" s="5" t="n"/>
      <c r="M580" s="5" t="n">
        <v>1</v>
      </c>
      <c r="N580" s="5" t="n">
        <v>1</v>
      </c>
      <c r="O580" s="5" t="n">
        <v>14.4</v>
      </c>
    </row>
    <row r="581">
      <c r="A581" s="5" t="inlineStr">
        <is>
          <t>single_kg3_011</t>
        </is>
      </c>
      <c r="B581" s="5" t="n">
        <v>1</v>
      </c>
      <c r="C581" s="5" t="inlineStr">
        <is>
          <t>single_kg3</t>
        </is>
      </c>
      <c r="D581" s="5" t="inlineStr">
        <is>
          <t>university</t>
        </is>
      </c>
      <c r="E581" s="5" t="inlineStr">
        <is>
          <t>en</t>
        </is>
      </c>
      <c r="F581" s="5" t="inlineStr">
        <is>
          <t>zero-shot</t>
        </is>
      </c>
      <c r="G581" s="5" t="inlineStr">
        <is>
          <t>single_kg3</t>
        </is>
      </c>
      <c r="H581" s="5" t="inlineStr">
        <is>
          <t>single_kg3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17.15</v>
      </c>
    </row>
    <row r="582">
      <c r="A582" s="5" t="inlineStr">
        <is>
          <t>single_kg3_011</t>
        </is>
      </c>
      <c r="B582" s="5" t="n">
        <v>1</v>
      </c>
      <c r="C582" s="5" t="inlineStr">
        <is>
          <t>single_kg3</t>
        </is>
      </c>
      <c r="D582" s="5" t="inlineStr">
        <is>
          <t>university</t>
        </is>
      </c>
      <c r="E582" s="5" t="inlineStr">
        <is>
          <t>en</t>
        </is>
      </c>
      <c r="F582" s="5" t="inlineStr">
        <is>
          <t>few-shot</t>
        </is>
      </c>
      <c r="G582" s="5" t="inlineStr">
        <is>
          <t>single_kg3</t>
        </is>
      </c>
      <c r="H582" s="5" t="inlineStr">
        <is>
          <t>single_kg3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12.11</v>
      </c>
    </row>
    <row r="583">
      <c r="A583" s="5" t="inlineStr">
        <is>
          <t>single_kg3_011</t>
        </is>
      </c>
      <c r="B583" s="5" t="n">
        <v>1</v>
      </c>
      <c r="C583" s="5" t="inlineStr">
        <is>
          <t>single_kg3</t>
        </is>
      </c>
      <c r="D583" s="5" t="inlineStr">
        <is>
          <t>university</t>
        </is>
      </c>
      <c r="E583" s="5" t="inlineStr">
        <is>
          <t>en</t>
        </is>
      </c>
      <c r="F583" s="5" t="inlineStr">
        <is>
          <t>cot</t>
        </is>
      </c>
      <c r="G583" s="5" t="inlineStr">
        <is>
          <t>single_kg3</t>
        </is>
      </c>
      <c r="H583" s="5" t="inlineStr">
        <is>
          <t>single_kg3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12.41</v>
      </c>
    </row>
    <row r="584">
      <c r="A584" s="5" t="inlineStr">
        <is>
          <t>single_kg3_011</t>
        </is>
      </c>
      <c r="B584" s="5" t="n">
        <v>1</v>
      </c>
      <c r="C584" s="5" t="inlineStr">
        <is>
          <t>single_kg3</t>
        </is>
      </c>
      <c r="D584" s="5" t="inlineStr">
        <is>
          <t>university</t>
        </is>
      </c>
      <c r="E584" s="5" t="inlineStr">
        <is>
          <t>fr</t>
        </is>
      </c>
      <c r="F584" s="5" t="inlineStr">
        <is>
          <t>zero-shot</t>
        </is>
      </c>
      <c r="G584" s="5" t="inlineStr">
        <is>
          <t>single_kg3</t>
        </is>
      </c>
      <c r="H584" s="5" t="inlineStr">
        <is>
          <t>ask_query</t>
        </is>
      </c>
      <c r="I584" s="5" t="b">
        <v>0</v>
      </c>
      <c r="J584" s="5" t="b">
        <v>1</v>
      </c>
      <c r="K584" s="5" t="inlineStr">
        <is>
          <t>success</t>
        </is>
      </c>
      <c r="L584" s="5" t="n"/>
      <c r="M584" s="5" t="n">
        <v>0</v>
      </c>
      <c r="N584" s="5" t="n">
        <v>0</v>
      </c>
      <c r="O584" s="5" t="n">
        <v>5.52</v>
      </c>
    </row>
    <row r="585">
      <c r="A585" s="5" t="inlineStr">
        <is>
          <t>single_kg3_011</t>
        </is>
      </c>
      <c r="B585" s="5" t="n">
        <v>1</v>
      </c>
      <c r="C585" s="5" t="inlineStr">
        <is>
          <t>single_kg3</t>
        </is>
      </c>
      <c r="D585" s="5" t="inlineStr">
        <is>
          <t>university</t>
        </is>
      </c>
      <c r="E585" s="5" t="inlineStr">
        <is>
          <t>fr</t>
        </is>
      </c>
      <c r="F585" s="5" t="inlineStr">
        <is>
          <t>few-shot</t>
        </is>
      </c>
      <c r="G585" s="5" t="inlineStr">
        <is>
          <t>single_kg3</t>
        </is>
      </c>
      <c r="H585" s="5" t="inlineStr">
        <is>
          <t>ask_query</t>
        </is>
      </c>
      <c r="I585" s="5" t="b">
        <v>0</v>
      </c>
      <c r="J585" s="5" t="b">
        <v>1</v>
      </c>
      <c r="K585" s="5" t="inlineStr">
        <is>
          <t>success</t>
        </is>
      </c>
      <c r="L585" s="5" t="n"/>
      <c r="M585" s="5" t="n">
        <v>0</v>
      </c>
      <c r="N585" s="5" t="n">
        <v>0</v>
      </c>
      <c r="O585" s="5" t="n">
        <v>4.96</v>
      </c>
    </row>
    <row r="586">
      <c r="A586" s="5" t="inlineStr">
        <is>
          <t>single_kg3_011</t>
        </is>
      </c>
      <c r="B586" s="5" t="n">
        <v>1</v>
      </c>
      <c r="C586" s="5" t="inlineStr">
        <is>
          <t>single_kg3</t>
        </is>
      </c>
      <c r="D586" s="5" t="inlineStr">
        <is>
          <t>university</t>
        </is>
      </c>
      <c r="E586" s="5" t="inlineStr">
        <is>
          <t>fr</t>
        </is>
      </c>
      <c r="F586" s="5" t="inlineStr">
        <is>
          <t>cot</t>
        </is>
      </c>
      <c r="G586" s="5" t="inlineStr">
        <is>
          <t>single_kg3</t>
        </is>
      </c>
      <c r="H586" s="5" t="inlineStr">
        <is>
          <t>ask_query</t>
        </is>
      </c>
      <c r="I586" s="5" t="b">
        <v>0</v>
      </c>
      <c r="J586" s="5" t="b">
        <v>1</v>
      </c>
      <c r="K586" s="5" t="inlineStr">
        <is>
          <t>success</t>
        </is>
      </c>
      <c r="L586" s="5" t="n"/>
      <c r="M586" s="5" t="n">
        <v>0</v>
      </c>
      <c r="N586" s="5" t="n">
        <v>0</v>
      </c>
      <c r="O586" s="5" t="n">
        <v>5.45</v>
      </c>
    </row>
    <row r="587">
      <c r="A587" s="5" t="inlineStr">
        <is>
          <t>single_kg3_011</t>
        </is>
      </c>
      <c r="B587" s="5" t="n">
        <v>1</v>
      </c>
      <c r="C587" s="5" t="inlineStr">
        <is>
          <t>single_kg3</t>
        </is>
      </c>
      <c r="D587" s="5" t="inlineStr">
        <is>
          <t>university</t>
        </is>
      </c>
      <c r="E587" s="5" t="inlineStr">
        <is>
          <t>ar</t>
        </is>
      </c>
      <c r="F587" s="5" t="inlineStr">
        <is>
          <t>zero-shot</t>
        </is>
      </c>
      <c r="G587" s="5" t="inlineStr">
        <is>
          <t>single_kg3</t>
        </is>
      </c>
      <c r="H587" s="5" t="inlineStr">
        <is>
          <t>single_kg3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13.81</v>
      </c>
    </row>
    <row r="588">
      <c r="A588" s="5" t="inlineStr">
        <is>
          <t>single_kg3_011</t>
        </is>
      </c>
      <c r="B588" s="5" t="n">
        <v>1</v>
      </c>
      <c r="C588" s="5" t="inlineStr">
        <is>
          <t>single_kg3</t>
        </is>
      </c>
      <c r="D588" s="5" t="inlineStr">
        <is>
          <t>university</t>
        </is>
      </c>
      <c r="E588" s="5" t="inlineStr">
        <is>
          <t>ar</t>
        </is>
      </c>
      <c r="F588" s="5" t="inlineStr">
        <is>
          <t>few-shot</t>
        </is>
      </c>
      <c r="G588" s="5" t="inlineStr">
        <is>
          <t>single_kg3</t>
        </is>
      </c>
      <c r="H588" s="5" t="inlineStr">
        <is>
          <t>single_kg3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14.08</v>
      </c>
    </row>
    <row r="589">
      <c r="A589" s="5" t="inlineStr">
        <is>
          <t>single_kg3_011</t>
        </is>
      </c>
      <c r="B589" s="5" t="n">
        <v>1</v>
      </c>
      <c r="C589" s="5" t="inlineStr">
        <is>
          <t>single_kg3</t>
        </is>
      </c>
      <c r="D589" s="5" t="inlineStr">
        <is>
          <t>university</t>
        </is>
      </c>
      <c r="E589" s="5" t="inlineStr">
        <is>
          <t>ar</t>
        </is>
      </c>
      <c r="F589" s="5" t="inlineStr">
        <is>
          <t>cot</t>
        </is>
      </c>
      <c r="G589" s="5" t="inlineStr">
        <is>
          <t>single_kg3</t>
        </is>
      </c>
      <c r="H589" s="5" t="inlineStr">
        <is>
          <t>single_kg3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14.18</v>
      </c>
    </row>
    <row r="590">
      <c r="A590" s="5" t="inlineStr">
        <is>
          <t>single_kg3_012</t>
        </is>
      </c>
      <c r="B590" s="5" t="n">
        <v>1</v>
      </c>
      <c r="C590" s="5" t="inlineStr">
        <is>
          <t>single_kg3</t>
        </is>
      </c>
      <c r="D590" s="5" t="inlineStr">
        <is>
          <t>university</t>
        </is>
      </c>
      <c r="E590" s="5" t="inlineStr">
        <is>
          <t>en</t>
        </is>
      </c>
      <c r="F590" s="5" t="inlineStr">
        <is>
          <t>zero-shot</t>
        </is>
      </c>
      <c r="G590" s="5" t="inlineStr">
        <is>
          <t>single_kg3</t>
        </is>
      </c>
      <c r="H590" s="5" t="inlineStr">
        <is>
          <t>single_kg3</t>
        </is>
      </c>
      <c r="I590" s="5" t="b">
        <v>1</v>
      </c>
      <c r="J590" s="5" t="b">
        <v>1</v>
      </c>
      <c r="K590" s="5" t="inlineStr">
        <is>
          <t>success</t>
        </is>
      </c>
      <c r="L590" s="5" t="n"/>
      <c r="M590" s="5" t="n">
        <v>1</v>
      </c>
      <c r="N590" s="5" t="n">
        <v>1</v>
      </c>
      <c r="O590" s="5" t="n">
        <v>15.67</v>
      </c>
    </row>
    <row r="591">
      <c r="A591" s="5" t="inlineStr">
        <is>
          <t>single_kg3_012</t>
        </is>
      </c>
      <c r="B591" s="5" t="n">
        <v>1</v>
      </c>
      <c r="C591" s="5" t="inlineStr">
        <is>
          <t>single_kg3</t>
        </is>
      </c>
      <c r="D591" s="5" t="inlineStr">
        <is>
          <t>university</t>
        </is>
      </c>
      <c r="E591" s="5" t="inlineStr">
        <is>
          <t>en</t>
        </is>
      </c>
      <c r="F591" s="5" t="inlineStr">
        <is>
          <t>few-shot</t>
        </is>
      </c>
      <c r="G591" s="5" t="inlineStr">
        <is>
          <t>single_kg3</t>
        </is>
      </c>
      <c r="H591" s="5" t="inlineStr">
        <is>
          <t>single_kg3</t>
        </is>
      </c>
      <c r="I591" s="5" t="b">
        <v>1</v>
      </c>
      <c r="J591" s="5" t="b">
        <v>1</v>
      </c>
      <c r="K591" s="5" t="inlineStr">
        <is>
          <t>success</t>
        </is>
      </c>
      <c r="L591" s="5" t="n"/>
      <c r="M591" s="5" t="n">
        <v>1</v>
      </c>
      <c r="N591" s="5" t="n">
        <v>1</v>
      </c>
      <c r="O591" s="5" t="n">
        <v>12.41</v>
      </c>
    </row>
    <row r="592">
      <c r="A592" s="5" t="inlineStr">
        <is>
          <t>single_kg3_012</t>
        </is>
      </c>
      <c r="B592" s="5" t="n">
        <v>1</v>
      </c>
      <c r="C592" s="5" t="inlineStr">
        <is>
          <t>single_kg3</t>
        </is>
      </c>
      <c r="D592" s="5" t="inlineStr">
        <is>
          <t>university</t>
        </is>
      </c>
      <c r="E592" s="5" t="inlineStr">
        <is>
          <t>en</t>
        </is>
      </c>
      <c r="F592" s="5" t="inlineStr">
        <is>
          <t>cot</t>
        </is>
      </c>
      <c r="G592" s="5" t="inlineStr">
        <is>
          <t>single_kg3</t>
        </is>
      </c>
      <c r="H592" s="5" t="inlineStr">
        <is>
          <t>single_kg3</t>
        </is>
      </c>
      <c r="I592" s="5" t="b">
        <v>1</v>
      </c>
      <c r="J592" s="5" t="b">
        <v>1</v>
      </c>
      <c r="K592" s="5" t="inlineStr">
        <is>
          <t>success</t>
        </is>
      </c>
      <c r="L592" s="5" t="n"/>
      <c r="M592" s="5" t="n">
        <v>1</v>
      </c>
      <c r="N592" s="5" t="n">
        <v>1</v>
      </c>
      <c r="O592" s="5" t="n">
        <v>13.05</v>
      </c>
    </row>
    <row r="593">
      <c r="A593" s="5" t="inlineStr">
        <is>
          <t>single_kg3_012</t>
        </is>
      </c>
      <c r="B593" s="5" t="n">
        <v>1</v>
      </c>
      <c r="C593" s="5" t="inlineStr">
        <is>
          <t>single_kg3</t>
        </is>
      </c>
      <c r="D593" s="5" t="inlineStr">
        <is>
          <t>university</t>
        </is>
      </c>
      <c r="E593" s="5" t="inlineStr">
        <is>
          <t>fr</t>
        </is>
      </c>
      <c r="F593" s="5" t="inlineStr">
        <is>
          <t>zero-shot</t>
        </is>
      </c>
      <c r="G593" s="5" t="inlineStr">
        <is>
          <t>single_kg3</t>
        </is>
      </c>
      <c r="H593" s="5" t="inlineStr">
        <is>
          <t>single_kg3</t>
        </is>
      </c>
      <c r="I593" s="5" t="b">
        <v>1</v>
      </c>
      <c r="J593" s="5" t="b">
        <v>1</v>
      </c>
      <c r="K593" s="5" t="inlineStr">
        <is>
          <t>success</t>
        </is>
      </c>
      <c r="L593" s="5" t="n"/>
      <c r="M593" s="5" t="n">
        <v>1</v>
      </c>
      <c r="N593" s="5" t="n">
        <v>1</v>
      </c>
      <c r="O593" s="5" t="n">
        <v>18.37</v>
      </c>
    </row>
    <row r="594">
      <c r="A594" s="5" t="inlineStr">
        <is>
          <t>single_kg3_012</t>
        </is>
      </c>
      <c r="B594" s="5" t="n">
        <v>1</v>
      </c>
      <c r="C594" s="5" t="inlineStr">
        <is>
          <t>single_kg3</t>
        </is>
      </c>
      <c r="D594" s="5" t="inlineStr">
        <is>
          <t>university</t>
        </is>
      </c>
      <c r="E594" s="5" t="inlineStr">
        <is>
          <t>fr</t>
        </is>
      </c>
      <c r="F594" s="5" t="inlineStr">
        <is>
          <t>few-shot</t>
        </is>
      </c>
      <c r="G594" s="5" t="inlineStr">
        <is>
          <t>single_kg3</t>
        </is>
      </c>
      <c r="H594" s="5" t="inlineStr">
        <is>
          <t>single_kg3</t>
        </is>
      </c>
      <c r="I594" s="5" t="b">
        <v>1</v>
      </c>
      <c r="J594" s="5" t="b">
        <v>1</v>
      </c>
      <c r="K594" s="5" t="inlineStr">
        <is>
          <t>success</t>
        </is>
      </c>
      <c r="L594" s="5" t="n"/>
      <c r="M594" s="5" t="n">
        <v>1</v>
      </c>
      <c r="N594" s="5" t="n">
        <v>1</v>
      </c>
      <c r="O594" s="5" t="n">
        <v>13.97</v>
      </c>
    </row>
    <row r="595">
      <c r="A595" s="5" t="inlineStr">
        <is>
          <t>single_kg3_012</t>
        </is>
      </c>
      <c r="B595" s="5" t="n">
        <v>1</v>
      </c>
      <c r="C595" s="5" t="inlineStr">
        <is>
          <t>single_kg3</t>
        </is>
      </c>
      <c r="D595" s="5" t="inlineStr">
        <is>
          <t>university</t>
        </is>
      </c>
      <c r="E595" s="5" t="inlineStr">
        <is>
          <t>fr</t>
        </is>
      </c>
      <c r="F595" s="5" t="inlineStr">
        <is>
          <t>cot</t>
        </is>
      </c>
      <c r="G595" s="5" t="inlineStr">
        <is>
          <t>single_kg3</t>
        </is>
      </c>
      <c r="H595" s="5" t="inlineStr">
        <is>
          <t>single_kg3</t>
        </is>
      </c>
      <c r="I595" s="5" t="b">
        <v>1</v>
      </c>
      <c r="J595" s="5" t="b">
        <v>1</v>
      </c>
      <c r="K595" s="5" t="inlineStr">
        <is>
          <t>success</t>
        </is>
      </c>
      <c r="L595" s="5" t="n"/>
      <c r="M595" s="5" t="n">
        <v>1</v>
      </c>
      <c r="N595" s="5" t="n">
        <v>1</v>
      </c>
      <c r="O595" s="5" t="n">
        <v>14.19</v>
      </c>
    </row>
    <row r="596">
      <c r="A596" s="5" t="inlineStr">
        <is>
          <t>single_kg3_012</t>
        </is>
      </c>
      <c r="B596" s="5" t="n">
        <v>1</v>
      </c>
      <c r="C596" s="5" t="inlineStr">
        <is>
          <t>single_kg3</t>
        </is>
      </c>
      <c r="D596" s="5" t="inlineStr">
        <is>
          <t>university</t>
        </is>
      </c>
      <c r="E596" s="5" t="inlineStr">
        <is>
          <t>ar</t>
        </is>
      </c>
      <c r="F596" s="5" t="inlineStr">
        <is>
          <t>zero-shot</t>
        </is>
      </c>
      <c r="G596" s="5" t="inlineStr">
        <is>
          <t>single_kg3</t>
        </is>
      </c>
      <c r="H596" s="5" t="inlineStr">
        <is>
          <t>single_kg3</t>
        </is>
      </c>
      <c r="I596" s="5" t="b">
        <v>1</v>
      </c>
      <c r="J596" s="5" t="b">
        <v>1</v>
      </c>
      <c r="K596" s="5" t="inlineStr">
        <is>
          <t>success</t>
        </is>
      </c>
      <c r="L596" s="5" t="n"/>
      <c r="M596" s="5" t="n">
        <v>1</v>
      </c>
      <c r="N596" s="5" t="n">
        <v>1</v>
      </c>
      <c r="O596" s="5" t="n">
        <v>17.02</v>
      </c>
    </row>
    <row r="597">
      <c r="A597" s="5" t="inlineStr">
        <is>
          <t>single_kg3_012</t>
        </is>
      </c>
      <c r="B597" s="5" t="n">
        <v>1</v>
      </c>
      <c r="C597" s="5" t="inlineStr">
        <is>
          <t>single_kg3</t>
        </is>
      </c>
      <c r="D597" s="5" t="inlineStr">
        <is>
          <t>university</t>
        </is>
      </c>
      <c r="E597" s="5" t="inlineStr">
        <is>
          <t>ar</t>
        </is>
      </c>
      <c r="F597" s="5" t="inlineStr">
        <is>
          <t>few-shot</t>
        </is>
      </c>
      <c r="G597" s="5" t="inlineStr">
        <is>
          <t>single_kg3</t>
        </is>
      </c>
      <c r="H597" s="5" t="inlineStr">
        <is>
          <t>single_kg3</t>
        </is>
      </c>
      <c r="I597" s="5" t="b">
        <v>1</v>
      </c>
      <c r="J597" s="5" t="b">
        <v>1</v>
      </c>
      <c r="K597" s="5" t="inlineStr">
        <is>
          <t>success</t>
        </is>
      </c>
      <c r="L597" s="5" t="n"/>
      <c r="M597" s="5" t="n">
        <v>1</v>
      </c>
      <c r="N597" s="5" t="n">
        <v>1</v>
      </c>
      <c r="O597" s="5" t="n">
        <v>13.79</v>
      </c>
    </row>
    <row r="598">
      <c r="A598" s="5" t="inlineStr">
        <is>
          <t>single_kg3_012</t>
        </is>
      </c>
      <c r="B598" s="5" t="n">
        <v>1</v>
      </c>
      <c r="C598" s="5" t="inlineStr">
        <is>
          <t>single_kg3</t>
        </is>
      </c>
      <c r="D598" s="5" t="inlineStr">
        <is>
          <t>university</t>
        </is>
      </c>
      <c r="E598" s="5" t="inlineStr">
        <is>
          <t>ar</t>
        </is>
      </c>
      <c r="F598" s="5" t="inlineStr">
        <is>
          <t>cot</t>
        </is>
      </c>
      <c r="G598" s="5" t="inlineStr">
        <is>
          <t>single_kg3</t>
        </is>
      </c>
      <c r="H598" s="5" t="inlineStr">
        <is>
          <t>single_kg3</t>
        </is>
      </c>
      <c r="I598" s="5" t="b">
        <v>1</v>
      </c>
      <c r="J598" s="5" t="b">
        <v>1</v>
      </c>
      <c r="K598" s="5" t="inlineStr">
        <is>
          <t>success</t>
        </is>
      </c>
      <c r="L598" s="5" t="n"/>
      <c r="M598" s="5" t="n">
        <v>1</v>
      </c>
      <c r="N598" s="5" t="n">
        <v>1</v>
      </c>
      <c r="O598" s="5" t="n">
        <v>13.97</v>
      </c>
    </row>
    <row r="599">
      <c r="A599" s="5" t="inlineStr">
        <is>
          <t>single_kg3_013</t>
        </is>
      </c>
      <c r="B599" s="5" t="n">
        <v>1</v>
      </c>
      <c r="C599" s="5" t="inlineStr">
        <is>
          <t>single_kg3</t>
        </is>
      </c>
      <c r="D599" s="5" t="inlineStr">
        <is>
          <t>university</t>
        </is>
      </c>
      <c r="E599" s="5" t="inlineStr">
        <is>
          <t>en</t>
        </is>
      </c>
      <c r="F599" s="5" t="inlineStr">
        <is>
          <t>zero-shot</t>
        </is>
      </c>
      <c r="G599" s="5" t="inlineStr">
        <is>
          <t>single_kg3</t>
        </is>
      </c>
      <c r="H599" s="5" t="inlineStr">
        <is>
          <t>single_kg3</t>
        </is>
      </c>
      <c r="I599" s="5" t="b">
        <v>1</v>
      </c>
      <c r="J599" s="5" t="b">
        <v>1</v>
      </c>
      <c r="K599" s="5" t="inlineStr">
        <is>
          <t>success</t>
        </is>
      </c>
      <c r="L599" s="5" t="n"/>
      <c r="M599" s="5" t="n">
        <v>1</v>
      </c>
      <c r="N599" s="5" t="n">
        <v>1</v>
      </c>
      <c r="O599" s="5" t="n">
        <v>15.89</v>
      </c>
    </row>
    <row r="600">
      <c r="A600" s="5" t="inlineStr">
        <is>
          <t>single_kg3_013</t>
        </is>
      </c>
      <c r="B600" s="5" t="n">
        <v>1</v>
      </c>
      <c r="C600" s="5" t="inlineStr">
        <is>
          <t>single_kg3</t>
        </is>
      </c>
      <c r="D600" s="5" t="inlineStr">
        <is>
          <t>university</t>
        </is>
      </c>
      <c r="E600" s="5" t="inlineStr">
        <is>
          <t>en</t>
        </is>
      </c>
      <c r="F600" s="5" t="inlineStr">
        <is>
          <t>few-shot</t>
        </is>
      </c>
      <c r="G600" s="5" t="inlineStr">
        <is>
          <t>single_kg3</t>
        </is>
      </c>
      <c r="H600" s="5" t="inlineStr">
        <is>
          <t>single_kg3</t>
        </is>
      </c>
      <c r="I600" s="5" t="b">
        <v>1</v>
      </c>
      <c r="J600" s="5" t="b">
        <v>1</v>
      </c>
      <c r="K600" s="5" t="inlineStr">
        <is>
          <t>success</t>
        </is>
      </c>
      <c r="L600" s="5" t="n"/>
      <c r="M600" s="5" t="n">
        <v>1</v>
      </c>
      <c r="N600" s="5" t="n">
        <v>1</v>
      </c>
      <c r="O600" s="5" t="n">
        <v>11.9</v>
      </c>
    </row>
    <row r="601">
      <c r="A601" s="5" t="inlineStr">
        <is>
          <t>single_kg3_013</t>
        </is>
      </c>
      <c r="B601" s="5" t="n">
        <v>1</v>
      </c>
      <c r="C601" s="5" t="inlineStr">
        <is>
          <t>single_kg3</t>
        </is>
      </c>
      <c r="D601" s="5" t="inlineStr">
        <is>
          <t>university</t>
        </is>
      </c>
      <c r="E601" s="5" t="inlineStr">
        <is>
          <t>en</t>
        </is>
      </c>
      <c r="F601" s="5" t="inlineStr">
        <is>
          <t>cot</t>
        </is>
      </c>
      <c r="G601" s="5" t="inlineStr">
        <is>
          <t>single_kg3</t>
        </is>
      </c>
      <c r="H601" s="5" t="inlineStr">
        <is>
          <t>single_kg3</t>
        </is>
      </c>
      <c r="I601" s="5" t="b">
        <v>1</v>
      </c>
      <c r="J601" s="5" t="b">
        <v>1</v>
      </c>
      <c r="K601" s="5" t="inlineStr">
        <is>
          <t>success</t>
        </is>
      </c>
      <c r="L601" s="5" t="n"/>
      <c r="M601" s="5" t="n">
        <v>1</v>
      </c>
      <c r="N601" s="5" t="n">
        <v>1</v>
      </c>
      <c r="O601" s="5" t="n">
        <v>12.59</v>
      </c>
    </row>
    <row r="602">
      <c r="A602" s="5" t="inlineStr">
        <is>
          <t>single_kg3_013</t>
        </is>
      </c>
      <c r="B602" s="5" t="n">
        <v>1</v>
      </c>
      <c r="C602" s="5" t="inlineStr">
        <is>
          <t>single_kg3</t>
        </is>
      </c>
      <c r="D602" s="5" t="inlineStr">
        <is>
          <t>university</t>
        </is>
      </c>
      <c r="E602" s="5" t="inlineStr">
        <is>
          <t>fr</t>
        </is>
      </c>
      <c r="F602" s="5" t="inlineStr">
        <is>
          <t>zero-shot</t>
        </is>
      </c>
      <c r="G602" s="5" t="inlineStr">
        <is>
          <t>single_kg3</t>
        </is>
      </c>
      <c r="H602" s="5" t="inlineStr">
        <is>
          <t>single_kg3</t>
        </is>
      </c>
      <c r="I602" s="5" t="b">
        <v>1</v>
      </c>
      <c r="J602" s="5" t="b">
        <v>1</v>
      </c>
      <c r="K602" s="5" t="inlineStr">
        <is>
          <t>no_results</t>
        </is>
      </c>
      <c r="L602" s="5" t="n"/>
      <c r="M602" s="5" t="n">
        <v>0</v>
      </c>
      <c r="N602" s="5" t="n">
        <v>0</v>
      </c>
      <c r="O602" s="5" t="n">
        <v>16.74</v>
      </c>
    </row>
    <row r="603">
      <c r="A603" s="5" t="inlineStr">
        <is>
          <t>single_kg3_013</t>
        </is>
      </c>
      <c r="B603" s="5" t="n">
        <v>1</v>
      </c>
      <c r="C603" s="5" t="inlineStr">
        <is>
          <t>single_kg3</t>
        </is>
      </c>
      <c r="D603" s="5" t="inlineStr">
        <is>
          <t>university</t>
        </is>
      </c>
      <c r="E603" s="5" t="inlineStr">
        <is>
          <t>fr</t>
        </is>
      </c>
      <c r="F603" s="5" t="inlineStr">
        <is>
          <t>few-shot</t>
        </is>
      </c>
      <c r="G603" s="5" t="inlineStr">
        <is>
          <t>single_kg3</t>
        </is>
      </c>
      <c r="H603" s="5" t="inlineStr">
        <is>
          <t>single_kg3</t>
        </is>
      </c>
      <c r="I603" s="5" t="b">
        <v>1</v>
      </c>
      <c r="J603" s="5" t="b">
        <v>1</v>
      </c>
      <c r="K603" s="5" t="inlineStr">
        <is>
          <t>no_results</t>
        </is>
      </c>
      <c r="L603" s="5" t="n"/>
      <c r="M603" s="5" t="n">
        <v>0</v>
      </c>
      <c r="N603" s="5" t="n">
        <v>0</v>
      </c>
      <c r="O603" s="5" t="n">
        <v>12.99</v>
      </c>
    </row>
    <row r="604">
      <c r="A604" s="5" t="inlineStr">
        <is>
          <t>single_kg3_013</t>
        </is>
      </c>
      <c r="B604" s="5" t="n">
        <v>1</v>
      </c>
      <c r="C604" s="5" t="inlineStr">
        <is>
          <t>single_kg3</t>
        </is>
      </c>
      <c r="D604" s="5" t="inlineStr">
        <is>
          <t>university</t>
        </is>
      </c>
      <c r="E604" s="5" t="inlineStr">
        <is>
          <t>fr</t>
        </is>
      </c>
      <c r="F604" s="5" t="inlineStr">
        <is>
          <t>cot</t>
        </is>
      </c>
      <c r="G604" s="5" t="inlineStr">
        <is>
          <t>single_kg3</t>
        </is>
      </c>
      <c r="H604" s="5" t="inlineStr">
        <is>
          <t>single_kg3</t>
        </is>
      </c>
      <c r="I604" s="5" t="b">
        <v>1</v>
      </c>
      <c r="J604" s="5" t="b">
        <v>1</v>
      </c>
      <c r="K604" s="5" t="inlineStr">
        <is>
          <t>no_results</t>
        </is>
      </c>
      <c r="L604" s="5" t="n"/>
      <c r="M604" s="5" t="n">
        <v>0</v>
      </c>
      <c r="N604" s="5" t="n">
        <v>0</v>
      </c>
      <c r="O604" s="5" t="n">
        <v>12.8</v>
      </c>
    </row>
    <row r="605">
      <c r="A605" s="5" t="inlineStr">
        <is>
          <t>single_kg3_013</t>
        </is>
      </c>
      <c r="B605" s="5" t="n">
        <v>1</v>
      </c>
      <c r="C605" s="5" t="inlineStr">
        <is>
          <t>single_kg3</t>
        </is>
      </c>
      <c r="D605" s="5" t="inlineStr">
        <is>
          <t>university</t>
        </is>
      </c>
      <c r="E605" s="5" t="inlineStr">
        <is>
          <t>ar</t>
        </is>
      </c>
      <c r="F605" s="5" t="inlineStr">
        <is>
          <t>zero-shot</t>
        </is>
      </c>
      <c r="G605" s="5" t="inlineStr">
        <is>
          <t>single_kg3</t>
        </is>
      </c>
      <c r="H605" s="5" t="inlineStr">
        <is>
          <t>single_kg3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1</v>
      </c>
      <c r="N605" s="5" t="n">
        <v>1</v>
      </c>
      <c r="O605" s="5" t="n">
        <v>17.85</v>
      </c>
    </row>
    <row r="606">
      <c r="A606" s="5" t="inlineStr">
        <is>
          <t>single_kg3_013</t>
        </is>
      </c>
      <c r="B606" s="5" t="n">
        <v>1</v>
      </c>
      <c r="C606" s="5" t="inlineStr">
        <is>
          <t>single_kg3</t>
        </is>
      </c>
      <c r="D606" s="5" t="inlineStr">
        <is>
          <t>university</t>
        </is>
      </c>
      <c r="E606" s="5" t="inlineStr">
        <is>
          <t>ar</t>
        </is>
      </c>
      <c r="F606" s="5" t="inlineStr">
        <is>
          <t>few-shot</t>
        </is>
      </c>
      <c r="G606" s="5" t="inlineStr">
        <is>
          <t>single_kg3</t>
        </is>
      </c>
      <c r="H606" s="5" t="inlineStr">
        <is>
          <t>single_kg3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1</v>
      </c>
      <c r="N606" s="5" t="n">
        <v>1</v>
      </c>
      <c r="O606" s="5" t="n">
        <v>13.07</v>
      </c>
    </row>
    <row r="607">
      <c r="A607" s="5" t="inlineStr">
        <is>
          <t>single_kg3_013</t>
        </is>
      </c>
      <c r="B607" s="5" t="n">
        <v>1</v>
      </c>
      <c r="C607" s="5" t="inlineStr">
        <is>
          <t>single_kg3</t>
        </is>
      </c>
      <c r="D607" s="5" t="inlineStr">
        <is>
          <t>university</t>
        </is>
      </c>
      <c r="E607" s="5" t="inlineStr">
        <is>
          <t>ar</t>
        </is>
      </c>
      <c r="F607" s="5" t="inlineStr">
        <is>
          <t>cot</t>
        </is>
      </c>
      <c r="G607" s="5" t="inlineStr">
        <is>
          <t>single_kg3</t>
        </is>
      </c>
      <c r="H607" s="5" t="inlineStr">
        <is>
          <t>single_kg3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1</v>
      </c>
      <c r="N607" s="5" t="n">
        <v>1</v>
      </c>
      <c r="O607" s="5" t="n">
        <v>13.32</v>
      </c>
    </row>
    <row r="608">
      <c r="A608" s="5" t="inlineStr">
        <is>
          <t>group_aggregate_kg1_001</t>
        </is>
      </c>
      <c r="B608" s="5" t="n">
        <v>2</v>
      </c>
      <c r="C608" s="5" t="inlineStr">
        <is>
          <t>group_aggregate_kg1</t>
        </is>
      </c>
      <c r="D608" s="5" t="inlineStr">
        <is>
          <t>flights</t>
        </is>
      </c>
      <c r="E608" s="5" t="inlineStr">
        <is>
          <t>en</t>
        </is>
      </c>
      <c r="F608" s="5" t="inlineStr">
        <is>
          <t>zero-shot</t>
        </is>
      </c>
      <c r="G608" s="5" t="inlineStr">
        <is>
          <t>template</t>
        </is>
      </c>
      <c r="H608" s="5" t="inlineStr">
        <is>
          <t>template</t>
        </is>
      </c>
      <c r="I608" s="5" t="b">
        <v>1</v>
      </c>
      <c r="J608" s="5" t="b">
        <v>1</v>
      </c>
      <c r="K608" s="5" t="inlineStr">
        <is>
          <t>success</t>
        </is>
      </c>
      <c r="L608" s="5" t="n"/>
      <c r="M608" s="5" t="n">
        <v>0</v>
      </c>
      <c r="N608" s="5" t="n">
        <v>0.0213</v>
      </c>
      <c r="O608" s="5" t="n">
        <v>16.73</v>
      </c>
    </row>
    <row r="609">
      <c r="A609" s="5" t="inlineStr">
        <is>
          <t>group_aggregate_kg1_001</t>
        </is>
      </c>
      <c r="B609" s="5" t="n">
        <v>2</v>
      </c>
      <c r="C609" s="5" t="inlineStr">
        <is>
          <t>group_aggregate_kg1</t>
        </is>
      </c>
      <c r="D609" s="5" t="inlineStr">
        <is>
          <t>flights</t>
        </is>
      </c>
      <c r="E609" s="5" t="inlineStr">
        <is>
          <t>fr</t>
        </is>
      </c>
      <c r="F609" s="5" t="inlineStr">
        <is>
          <t>zero-shot</t>
        </is>
      </c>
      <c r="G609" s="5" t="inlineStr">
        <is>
          <t>template</t>
        </is>
      </c>
      <c r="H609" s="5" t="inlineStr">
        <is>
          <t>template</t>
        </is>
      </c>
      <c r="I609" s="5" t="b">
        <v>1</v>
      </c>
      <c r="J609" s="5" t="b">
        <v>1</v>
      </c>
      <c r="K609" s="5" t="inlineStr">
        <is>
          <t>success</t>
        </is>
      </c>
      <c r="L609" s="5" t="n"/>
      <c r="M609" s="5" t="n">
        <v>0</v>
      </c>
      <c r="N609" s="5" t="n">
        <v>0.0213</v>
      </c>
      <c r="O609" s="5" t="n">
        <v>14.66</v>
      </c>
    </row>
    <row r="610">
      <c r="A610" s="5" t="inlineStr">
        <is>
          <t>group_aggregate_kg1_001</t>
        </is>
      </c>
      <c r="B610" s="5" t="n">
        <v>2</v>
      </c>
      <c r="C610" s="5" t="inlineStr">
        <is>
          <t>group_aggregate_kg1</t>
        </is>
      </c>
      <c r="D610" s="5" t="inlineStr">
        <is>
          <t>flights</t>
        </is>
      </c>
      <c r="E610" s="5" t="inlineStr">
        <is>
          <t>ar</t>
        </is>
      </c>
      <c r="F610" s="5" t="inlineStr">
        <is>
          <t>zero-shot</t>
        </is>
      </c>
      <c r="G610" s="5" t="inlineStr">
        <is>
          <t>template</t>
        </is>
      </c>
      <c r="H610" s="5" t="inlineStr">
        <is>
          <t>template</t>
        </is>
      </c>
      <c r="I610" s="5" t="b">
        <v>1</v>
      </c>
      <c r="J610" s="5" t="b">
        <v>1</v>
      </c>
      <c r="K610" s="5" t="inlineStr">
        <is>
          <t>success</t>
        </is>
      </c>
      <c r="L610" s="5" t="n"/>
      <c r="M610" s="5" t="n">
        <v>0</v>
      </c>
      <c r="N610" s="5" t="n">
        <v>0.0213</v>
      </c>
      <c r="O610" s="5" t="n">
        <v>11.73</v>
      </c>
    </row>
    <row r="611">
      <c r="A611" s="5" t="inlineStr">
        <is>
          <t>group_aggregate_kg3_001</t>
        </is>
      </c>
      <c r="B611" s="5" t="n">
        <v>2</v>
      </c>
      <c r="C611" s="5" t="inlineStr">
        <is>
          <t>group_aggregate_kg3</t>
        </is>
      </c>
      <c r="D611" s="5" t="inlineStr">
        <is>
          <t>university</t>
        </is>
      </c>
      <c r="E611" s="5" t="inlineStr">
        <is>
          <t>en</t>
        </is>
      </c>
      <c r="F611" s="5" t="inlineStr">
        <is>
          <t>zero-shot</t>
        </is>
      </c>
      <c r="G611" s="5" t="inlineStr">
        <is>
          <t>template</t>
        </is>
      </c>
      <c r="H611" s="5" t="inlineStr">
        <is>
          <t>template</t>
        </is>
      </c>
      <c r="I611" s="5" t="b">
        <v>1</v>
      </c>
      <c r="J611" s="5" t="b">
        <v>1</v>
      </c>
      <c r="K611" s="5" t="inlineStr">
        <is>
          <t>success</t>
        </is>
      </c>
      <c r="L611" s="5" t="n"/>
      <c r="M611" s="5" t="n">
        <v>0</v>
      </c>
      <c r="N611" s="5" t="n">
        <v>0.0769</v>
      </c>
      <c r="O611" s="5" t="n">
        <v>13.44</v>
      </c>
    </row>
    <row r="612">
      <c r="A612" s="5" t="inlineStr">
        <is>
          <t>group_aggregate_kg3_001</t>
        </is>
      </c>
      <c r="B612" s="5" t="n">
        <v>2</v>
      </c>
      <c r="C612" s="5" t="inlineStr">
        <is>
          <t>group_aggregate_kg3</t>
        </is>
      </c>
      <c r="D612" s="5" t="inlineStr">
        <is>
          <t>university</t>
        </is>
      </c>
      <c r="E612" s="5" t="inlineStr">
        <is>
          <t>en</t>
        </is>
      </c>
      <c r="F612" s="5" t="inlineStr">
        <is>
          <t>few-shot</t>
        </is>
      </c>
      <c r="G612" s="5" t="inlineStr">
        <is>
          <t>template</t>
        </is>
      </c>
      <c r="H612" s="5" t="inlineStr">
        <is>
          <t>template</t>
        </is>
      </c>
      <c r="I612" s="5" t="b">
        <v>1</v>
      </c>
      <c r="J612" s="5" t="b">
        <v>1</v>
      </c>
      <c r="K612" s="5" t="inlineStr">
        <is>
          <t>success</t>
        </is>
      </c>
      <c r="L612" s="5" t="n"/>
      <c r="M612" s="5" t="n">
        <v>0</v>
      </c>
      <c r="N612" s="5" t="n">
        <v>0.0769</v>
      </c>
      <c r="O612" s="5" t="n">
        <v>9.630000000000001</v>
      </c>
    </row>
    <row r="613">
      <c r="A613" s="5" t="inlineStr">
        <is>
          <t>group_aggregate_kg3_001</t>
        </is>
      </c>
      <c r="B613" s="5" t="n">
        <v>2</v>
      </c>
      <c r="C613" s="5" t="inlineStr">
        <is>
          <t>group_aggregate_kg3</t>
        </is>
      </c>
      <c r="D613" s="5" t="inlineStr">
        <is>
          <t>university</t>
        </is>
      </c>
      <c r="E613" s="5" t="inlineStr">
        <is>
          <t>en</t>
        </is>
      </c>
      <c r="F613" s="5" t="inlineStr">
        <is>
          <t>cot</t>
        </is>
      </c>
      <c r="G613" s="5" t="inlineStr">
        <is>
          <t>template</t>
        </is>
      </c>
      <c r="H613" s="5" t="inlineStr">
        <is>
          <t>template</t>
        </is>
      </c>
      <c r="I613" s="5" t="b">
        <v>1</v>
      </c>
      <c r="J613" s="5" t="b">
        <v>1</v>
      </c>
      <c r="K613" s="5" t="inlineStr">
        <is>
          <t>success</t>
        </is>
      </c>
      <c r="L613" s="5" t="n"/>
      <c r="M613" s="5" t="n">
        <v>0</v>
      </c>
      <c r="N613" s="5" t="n">
        <v>0.0769</v>
      </c>
      <c r="O613" s="5" t="n">
        <v>9.76</v>
      </c>
    </row>
    <row r="614">
      <c r="A614" s="5" t="inlineStr">
        <is>
          <t>group_aggregate_kg3_001</t>
        </is>
      </c>
      <c r="B614" s="5" t="n">
        <v>2</v>
      </c>
      <c r="C614" s="5" t="inlineStr">
        <is>
          <t>group_aggregate_kg3</t>
        </is>
      </c>
      <c r="D614" s="5" t="inlineStr">
        <is>
          <t>university</t>
        </is>
      </c>
      <c r="E614" s="5" t="inlineStr">
        <is>
          <t>fr</t>
        </is>
      </c>
      <c r="F614" s="5" t="inlineStr">
        <is>
          <t>zero-shot</t>
        </is>
      </c>
      <c r="G614" s="5" t="inlineStr">
        <is>
          <t>template</t>
        </is>
      </c>
      <c r="H614" s="5" t="inlineStr">
        <is>
          <t>template</t>
        </is>
      </c>
      <c r="I614" s="5" t="b">
        <v>1</v>
      </c>
      <c r="J614" s="5" t="b">
        <v>1</v>
      </c>
      <c r="K614" s="5" t="inlineStr">
        <is>
          <t>success</t>
        </is>
      </c>
      <c r="L614" s="5" t="n"/>
      <c r="M614" s="5" t="n">
        <v>0</v>
      </c>
      <c r="N614" s="5" t="n">
        <v>0.0769</v>
      </c>
      <c r="O614" s="5" t="n">
        <v>13.87</v>
      </c>
    </row>
    <row r="615">
      <c r="A615" s="5" t="inlineStr">
        <is>
          <t>group_aggregate_kg3_001</t>
        </is>
      </c>
      <c r="B615" s="5" t="n">
        <v>2</v>
      </c>
      <c r="C615" s="5" t="inlineStr">
        <is>
          <t>group_aggregate_kg3</t>
        </is>
      </c>
      <c r="D615" s="5" t="inlineStr">
        <is>
          <t>university</t>
        </is>
      </c>
      <c r="E615" s="5" t="inlineStr">
        <is>
          <t>fr</t>
        </is>
      </c>
      <c r="F615" s="5" t="inlineStr">
        <is>
          <t>few-shot</t>
        </is>
      </c>
      <c r="G615" s="5" t="inlineStr">
        <is>
          <t>template</t>
        </is>
      </c>
      <c r="H615" s="5" t="inlineStr">
        <is>
          <t>template</t>
        </is>
      </c>
      <c r="I615" s="5" t="b">
        <v>1</v>
      </c>
      <c r="J615" s="5" t="b">
        <v>1</v>
      </c>
      <c r="K615" s="5" t="inlineStr">
        <is>
          <t>success</t>
        </is>
      </c>
      <c r="L615" s="5" t="n"/>
      <c r="M615" s="5" t="n">
        <v>0</v>
      </c>
      <c r="N615" s="5" t="n">
        <v>0.0769</v>
      </c>
      <c r="O615" s="5" t="n">
        <v>10.04</v>
      </c>
    </row>
    <row r="616">
      <c r="A616" s="5" t="inlineStr">
        <is>
          <t>group_aggregate_kg3_001</t>
        </is>
      </c>
      <c r="B616" s="5" t="n">
        <v>2</v>
      </c>
      <c r="C616" s="5" t="inlineStr">
        <is>
          <t>group_aggregate_kg3</t>
        </is>
      </c>
      <c r="D616" s="5" t="inlineStr">
        <is>
          <t>university</t>
        </is>
      </c>
      <c r="E616" s="5" t="inlineStr">
        <is>
          <t>fr</t>
        </is>
      </c>
      <c r="F616" s="5" t="inlineStr">
        <is>
          <t>cot</t>
        </is>
      </c>
      <c r="G616" s="5" t="inlineStr">
        <is>
          <t>template</t>
        </is>
      </c>
      <c r="H616" s="5" t="inlineStr">
        <is>
          <t>template</t>
        </is>
      </c>
      <c r="I616" s="5" t="b">
        <v>1</v>
      </c>
      <c r="J616" s="5" t="b">
        <v>1</v>
      </c>
      <c r="K616" s="5" t="inlineStr">
        <is>
          <t>success</t>
        </is>
      </c>
      <c r="L616" s="5" t="n"/>
      <c r="M616" s="5" t="n">
        <v>0</v>
      </c>
      <c r="N616" s="5" t="n">
        <v>0.0769</v>
      </c>
      <c r="O616" s="5" t="n">
        <v>9.68</v>
      </c>
    </row>
    <row r="617">
      <c r="A617" s="5" t="inlineStr">
        <is>
          <t>group_aggregate_kg3_001</t>
        </is>
      </c>
      <c r="B617" s="5" t="n">
        <v>2</v>
      </c>
      <c r="C617" s="5" t="inlineStr">
        <is>
          <t>group_aggregate_kg3</t>
        </is>
      </c>
      <c r="D617" s="5" t="inlineStr">
        <is>
          <t>university</t>
        </is>
      </c>
      <c r="E617" s="5" t="inlineStr">
        <is>
          <t>ar</t>
        </is>
      </c>
      <c r="F617" s="5" t="inlineStr">
        <is>
          <t>zero-shot</t>
        </is>
      </c>
      <c r="G617" s="5" t="inlineStr">
        <is>
          <t>template</t>
        </is>
      </c>
      <c r="H617" s="5" t="inlineStr">
        <is>
          <t>template</t>
        </is>
      </c>
      <c r="I617" s="5" t="b">
        <v>1</v>
      </c>
      <c r="J617" s="5" t="b">
        <v>1</v>
      </c>
      <c r="K617" s="5" t="inlineStr">
        <is>
          <t>success</t>
        </is>
      </c>
      <c r="L617" s="5" t="n"/>
      <c r="M617" s="5" t="n">
        <v>0</v>
      </c>
      <c r="N617" s="5" t="n">
        <v>0.0769</v>
      </c>
      <c r="O617" s="5" t="n">
        <v>13.66</v>
      </c>
    </row>
    <row r="618">
      <c r="A618" s="5" t="inlineStr">
        <is>
          <t>group_aggregate_kg3_001</t>
        </is>
      </c>
      <c r="B618" s="5" t="n">
        <v>2</v>
      </c>
      <c r="C618" s="5" t="inlineStr">
        <is>
          <t>group_aggregate_kg3</t>
        </is>
      </c>
      <c r="D618" s="5" t="inlineStr">
        <is>
          <t>university</t>
        </is>
      </c>
      <c r="E618" s="5" t="inlineStr">
        <is>
          <t>ar</t>
        </is>
      </c>
      <c r="F618" s="5" t="inlineStr">
        <is>
          <t>few-shot</t>
        </is>
      </c>
      <c r="G618" s="5" t="inlineStr">
        <is>
          <t>template</t>
        </is>
      </c>
      <c r="H618" s="5" t="inlineStr">
        <is>
          <t>template</t>
        </is>
      </c>
      <c r="I618" s="5" t="b">
        <v>1</v>
      </c>
      <c r="J618" s="5" t="b">
        <v>1</v>
      </c>
      <c r="K618" s="5" t="inlineStr">
        <is>
          <t>success</t>
        </is>
      </c>
      <c r="L618" s="5" t="n"/>
      <c r="M618" s="5" t="n">
        <v>0</v>
      </c>
      <c r="N618" s="5" t="n">
        <v>0.0769</v>
      </c>
      <c r="O618" s="5" t="n">
        <v>10.4</v>
      </c>
    </row>
    <row r="619">
      <c r="A619" s="5" t="inlineStr">
        <is>
          <t>group_aggregate_kg3_001</t>
        </is>
      </c>
      <c r="B619" s="5" t="n">
        <v>2</v>
      </c>
      <c r="C619" s="5" t="inlineStr">
        <is>
          <t>group_aggregate_kg3</t>
        </is>
      </c>
      <c r="D619" s="5" t="inlineStr">
        <is>
          <t>university</t>
        </is>
      </c>
      <c r="E619" s="5" t="inlineStr">
        <is>
          <t>ar</t>
        </is>
      </c>
      <c r="F619" s="5" t="inlineStr">
        <is>
          <t>cot</t>
        </is>
      </c>
      <c r="G619" s="5" t="inlineStr">
        <is>
          <t>template</t>
        </is>
      </c>
      <c r="H619" s="5" t="inlineStr">
        <is>
          <t>template</t>
        </is>
      </c>
      <c r="I619" s="5" t="b">
        <v>1</v>
      </c>
      <c r="J619" s="5" t="b">
        <v>1</v>
      </c>
      <c r="K619" s="5" t="inlineStr">
        <is>
          <t>success</t>
        </is>
      </c>
      <c r="L619" s="5" t="n"/>
      <c r="M619" s="5" t="n">
        <v>0</v>
      </c>
      <c r="N619" s="5" t="n">
        <v>0.0769</v>
      </c>
      <c r="O619" s="5" t="n">
        <v>9.91</v>
      </c>
    </row>
    <row r="620">
      <c r="A620" s="5" t="inlineStr">
        <is>
          <t>ranking_kg1_002</t>
        </is>
      </c>
      <c r="B620" s="5" t="n">
        <v>2</v>
      </c>
      <c r="C620" s="5" t="inlineStr">
        <is>
          <t>ranking_kg1</t>
        </is>
      </c>
      <c r="D620" s="5" t="inlineStr">
        <is>
          <t>flights</t>
        </is>
      </c>
      <c r="E620" s="5" t="inlineStr">
        <is>
          <t>en</t>
        </is>
      </c>
      <c r="F620" s="5" t="inlineStr">
        <is>
          <t>zero-shot</t>
        </is>
      </c>
      <c r="G620" s="5" t="inlineStr">
        <is>
          <t>ranking_kg1</t>
        </is>
      </c>
      <c r="H620" s="5" t="inlineStr">
        <is>
          <t>open_kg</t>
        </is>
      </c>
      <c r="I620" s="5" t="b">
        <v>0</v>
      </c>
      <c r="J620" s="5" t="b">
        <v>1</v>
      </c>
      <c r="K620" s="5" t="inlineStr">
        <is>
          <t>success</t>
        </is>
      </c>
      <c r="L620" s="5" t="n"/>
      <c r="M620" s="5" t="n">
        <v>0</v>
      </c>
      <c r="N620" s="5" t="n">
        <v>0.08699999999999999</v>
      </c>
      <c r="O620" s="5" t="n">
        <v>38.68</v>
      </c>
    </row>
    <row r="621">
      <c r="A621" s="5" t="inlineStr">
        <is>
          <t>ranking_kg1_002</t>
        </is>
      </c>
      <c r="B621" s="5" t="n">
        <v>2</v>
      </c>
      <c r="C621" s="5" t="inlineStr">
        <is>
          <t>ranking_kg1</t>
        </is>
      </c>
      <c r="D621" s="5" t="inlineStr">
        <is>
          <t>flights</t>
        </is>
      </c>
      <c r="E621" s="5" t="inlineStr">
        <is>
          <t>fr</t>
        </is>
      </c>
      <c r="F621" s="5" t="inlineStr">
        <is>
          <t>zero-shot</t>
        </is>
      </c>
      <c r="G621" s="5" t="inlineStr">
        <is>
          <t>ranking_kg1</t>
        </is>
      </c>
      <c r="H621" s="5" t="inlineStr">
        <is>
          <t>template</t>
        </is>
      </c>
      <c r="I621" s="5" t="b">
        <v>0</v>
      </c>
      <c r="J621" s="5" t="b">
        <v>1</v>
      </c>
      <c r="K621" s="5" t="inlineStr">
        <is>
          <t>success</t>
        </is>
      </c>
      <c r="L621" s="5" t="n"/>
      <c r="M621" s="5" t="n">
        <v>0</v>
      </c>
      <c r="N621" s="5" t="n">
        <v>0.1099</v>
      </c>
      <c r="O621" s="5" t="n">
        <v>12.81</v>
      </c>
    </row>
    <row r="622">
      <c r="A622" s="5" t="inlineStr">
        <is>
          <t>ranking_kg1_002</t>
        </is>
      </c>
      <c r="B622" s="5" t="n">
        <v>2</v>
      </c>
      <c r="C622" s="5" t="inlineStr">
        <is>
          <t>ranking_kg1</t>
        </is>
      </c>
      <c r="D622" s="5" t="inlineStr">
        <is>
          <t>flights</t>
        </is>
      </c>
      <c r="E622" s="5" t="inlineStr">
        <is>
          <t>ar</t>
        </is>
      </c>
      <c r="F622" s="5" t="inlineStr">
        <is>
          <t>zero-shot</t>
        </is>
      </c>
      <c r="G622" s="5" t="inlineStr">
        <is>
          <t>ranking_kg1</t>
        </is>
      </c>
      <c r="H622" s="5" t="inlineStr">
        <is>
          <t>template</t>
        </is>
      </c>
      <c r="I622" s="5" t="b">
        <v>0</v>
      </c>
      <c r="J622" s="5" t="b">
        <v>1</v>
      </c>
      <c r="K622" s="5" t="inlineStr">
        <is>
          <t>success</t>
        </is>
      </c>
      <c r="L622" s="5" t="n"/>
      <c r="M622" s="5" t="n">
        <v>0</v>
      </c>
      <c r="N622" s="5" t="n">
        <v>0.1099</v>
      </c>
      <c r="O622" s="5" t="n">
        <v>12.27</v>
      </c>
    </row>
    <row r="623">
      <c r="A623" s="5" t="inlineStr">
        <is>
          <t>ranking_kg3_002</t>
        </is>
      </c>
      <c r="B623" s="5" t="n">
        <v>2</v>
      </c>
      <c r="C623" s="5" t="inlineStr">
        <is>
          <t>ranking_kg3</t>
        </is>
      </c>
      <c r="D623" s="5" t="inlineStr">
        <is>
          <t>university</t>
        </is>
      </c>
      <c r="E623" s="5" t="inlineStr">
        <is>
          <t>en</t>
        </is>
      </c>
      <c r="F623" s="5" t="inlineStr">
        <is>
          <t>zero-shot</t>
        </is>
      </c>
      <c r="G623" s="5" t="inlineStr">
        <is>
          <t>ranking_kg3</t>
        </is>
      </c>
      <c r="H623" s="5" t="inlineStr">
        <is>
          <t>template</t>
        </is>
      </c>
      <c r="I623" s="5" t="b">
        <v>0</v>
      </c>
      <c r="J623" s="5" t="b">
        <v>0</v>
      </c>
      <c r="K623" s="5" t="inlineStr">
        <is>
          <t>sparql_build_failure</t>
        </is>
      </c>
      <c r="L623" s="5" t="inlineStr">
        <is>
          <t>params={'group_by': 'department', 'property': 'memberOf', 'function': 'COUNT'}</t>
        </is>
      </c>
      <c r="M623" s="5" t="n">
        <v>0</v>
      </c>
      <c r="N623" s="5" t="n">
        <v>0</v>
      </c>
      <c r="O623" s="5" t="n">
        <v>11.58</v>
      </c>
    </row>
    <row r="624">
      <c r="A624" s="5" t="inlineStr">
        <is>
          <t>ranking_kg3_002</t>
        </is>
      </c>
      <c r="B624" s="5" t="n">
        <v>2</v>
      </c>
      <c r="C624" s="5" t="inlineStr">
        <is>
          <t>ranking_kg3</t>
        </is>
      </c>
      <c r="D624" s="5" t="inlineStr">
        <is>
          <t>university</t>
        </is>
      </c>
      <c r="E624" s="5" t="inlineStr">
        <is>
          <t>fr</t>
        </is>
      </c>
      <c r="F624" s="5" t="inlineStr">
        <is>
          <t>zero-shot</t>
        </is>
      </c>
      <c r="G624" s="5" t="inlineStr">
        <is>
          <t>ranking_kg3</t>
        </is>
      </c>
      <c r="H624" s="5" t="inlineStr">
        <is>
          <t>template</t>
        </is>
      </c>
      <c r="I624" s="5" t="b">
        <v>0</v>
      </c>
      <c r="J624" s="5" t="b">
        <v>0</v>
      </c>
      <c r="K624" s="5" t="inlineStr">
        <is>
          <t>sparql_build_failure</t>
        </is>
      </c>
      <c r="L624" s="5" t="inlineStr">
        <is>
          <t>params={'group_by': 'department', 'property': 'memberOf', 'function': 'COUNT'}</t>
        </is>
      </c>
      <c r="M624" s="5" t="n">
        <v>0</v>
      </c>
      <c r="N624" s="5" t="n">
        <v>0</v>
      </c>
      <c r="O624" s="5" t="n">
        <v>7.62</v>
      </c>
    </row>
    <row r="625">
      <c r="A625" s="5" t="inlineStr">
        <is>
          <t>ranking_kg3_002</t>
        </is>
      </c>
      <c r="B625" s="5" t="n">
        <v>2</v>
      </c>
      <c r="C625" s="5" t="inlineStr">
        <is>
          <t>ranking_kg3</t>
        </is>
      </c>
      <c r="D625" s="5" t="inlineStr">
        <is>
          <t>university</t>
        </is>
      </c>
      <c r="E625" s="5" t="inlineStr">
        <is>
          <t>ar</t>
        </is>
      </c>
      <c r="F625" s="5" t="inlineStr">
        <is>
          <t>zero-shot</t>
        </is>
      </c>
      <c r="G625" s="5" t="inlineStr">
        <is>
          <t>ranking_kg3</t>
        </is>
      </c>
      <c r="H625" s="5" t="inlineStr">
        <is>
          <t>template</t>
        </is>
      </c>
      <c r="I625" s="5" t="b">
        <v>0</v>
      </c>
      <c r="J625" s="5" t="b">
        <v>0</v>
      </c>
      <c r="K625" s="5" t="inlineStr">
        <is>
          <t>sparql_build_failure</t>
        </is>
      </c>
      <c r="L625" s="5" t="inlineStr">
        <is>
          <t>params={'property': 'memberOf', 'function': 'COUNT'}</t>
        </is>
      </c>
      <c r="M625" s="5" t="n">
        <v>0</v>
      </c>
      <c r="N625" s="5" t="n">
        <v>0</v>
      </c>
      <c r="O625" s="5" t="n">
        <v>7.74</v>
      </c>
    </row>
    <row r="626">
      <c r="A626" s="5" t="inlineStr">
        <is>
          <t>count_kg2_002</t>
        </is>
      </c>
      <c r="B626" s="5" t="n">
        <v>2</v>
      </c>
      <c r="C626" s="5" t="inlineStr">
        <is>
          <t>count_kg2</t>
        </is>
      </c>
      <c r="D626" s="5" t="inlineStr">
        <is>
          <t>airports</t>
        </is>
      </c>
      <c r="E626" s="5" t="inlineStr">
        <is>
          <t>en</t>
        </is>
      </c>
      <c r="F626" s="5" t="inlineStr">
        <is>
          <t>zero-shot</t>
        </is>
      </c>
      <c r="G626" s="5" t="inlineStr">
        <is>
          <t>count_kg2</t>
        </is>
      </c>
      <c r="H626" s="5" t="inlineStr">
        <is>
          <t>open_kg</t>
        </is>
      </c>
      <c r="I626" s="5" t="b">
        <v>0</v>
      </c>
      <c r="J626" s="5" t="b">
        <v>1</v>
      </c>
      <c r="K626" s="5" t="inlineStr">
        <is>
          <t>success</t>
        </is>
      </c>
      <c r="L626" s="5" t="n"/>
      <c r="M626" s="5" t="n">
        <v>1</v>
      </c>
      <c r="N626" s="5" t="n">
        <v>1</v>
      </c>
      <c r="O626" s="5" t="n">
        <v>28.86</v>
      </c>
    </row>
    <row r="627">
      <c r="A627" s="5" t="inlineStr">
        <is>
          <t>count_kg2_002</t>
        </is>
      </c>
      <c r="B627" s="5" t="n">
        <v>2</v>
      </c>
      <c r="C627" s="5" t="inlineStr">
        <is>
          <t>count_kg2</t>
        </is>
      </c>
      <c r="D627" s="5" t="inlineStr">
        <is>
          <t>airports</t>
        </is>
      </c>
      <c r="E627" s="5" t="inlineStr">
        <is>
          <t>fr</t>
        </is>
      </c>
      <c r="F627" s="5" t="inlineStr">
        <is>
          <t>zero-shot</t>
        </is>
      </c>
      <c r="G627" s="5" t="inlineStr">
        <is>
          <t>count_kg2</t>
        </is>
      </c>
      <c r="H627" s="5" t="inlineStr">
        <is>
          <t>open_kg</t>
        </is>
      </c>
      <c r="I627" s="5" t="b">
        <v>0</v>
      </c>
      <c r="J627" s="5" t="b">
        <v>1</v>
      </c>
      <c r="K627" s="5" t="inlineStr">
        <is>
          <t>success</t>
        </is>
      </c>
      <c r="L627" s="5" t="n"/>
      <c r="M627" s="5" t="n">
        <v>1</v>
      </c>
      <c r="N627" s="5" t="n">
        <v>1</v>
      </c>
      <c r="O627" s="5" t="n">
        <v>32.25</v>
      </c>
    </row>
    <row r="628">
      <c r="A628" s="5" t="inlineStr">
        <is>
          <t>count_kg2_002</t>
        </is>
      </c>
      <c r="B628" s="5" t="n">
        <v>2</v>
      </c>
      <c r="C628" s="5" t="inlineStr">
        <is>
          <t>count_kg2</t>
        </is>
      </c>
      <c r="D628" s="5" t="inlineStr">
        <is>
          <t>airports</t>
        </is>
      </c>
      <c r="E628" s="5" t="inlineStr">
        <is>
          <t>ar</t>
        </is>
      </c>
      <c r="F628" s="5" t="inlineStr">
        <is>
          <t>zero-shot</t>
        </is>
      </c>
      <c r="G628" s="5" t="inlineStr">
        <is>
          <t>count_kg2</t>
        </is>
      </c>
      <c r="H628" s="5" t="inlineStr">
        <is>
          <t>template</t>
        </is>
      </c>
      <c r="I628" s="5" t="b">
        <v>0</v>
      </c>
      <c r="J628" s="5" t="b">
        <v>1</v>
      </c>
      <c r="K628" s="5" t="inlineStr">
        <is>
          <t>success</t>
        </is>
      </c>
      <c r="L628" s="5" t="n"/>
      <c r="M628" s="5" t="n">
        <v>0</v>
      </c>
      <c r="N628" s="5" t="n">
        <v>0</v>
      </c>
      <c r="O628" s="5" t="n">
        <v>13.68</v>
      </c>
    </row>
    <row r="629">
      <c r="A629" s="5" t="inlineStr">
        <is>
          <t>count_kg2_003</t>
        </is>
      </c>
      <c r="B629" s="5" t="n">
        <v>2</v>
      </c>
      <c r="C629" s="5" t="inlineStr">
        <is>
          <t>count_kg2</t>
        </is>
      </c>
      <c r="D629" s="5" t="inlineStr">
        <is>
          <t>airports</t>
        </is>
      </c>
      <c r="E629" s="5" t="inlineStr">
        <is>
          <t>en</t>
        </is>
      </c>
      <c r="F629" s="5" t="inlineStr">
        <is>
          <t>zero-shot</t>
        </is>
      </c>
      <c r="G629" s="5" t="inlineStr">
        <is>
          <t>count_kg2</t>
        </is>
      </c>
      <c r="H629" s="5" t="inlineStr">
        <is>
          <t>template</t>
        </is>
      </c>
      <c r="I629" s="5" t="b">
        <v>0</v>
      </c>
      <c r="J629" s="5" t="b">
        <v>1</v>
      </c>
      <c r="K629" s="5" t="inlineStr">
        <is>
          <t>success</t>
        </is>
      </c>
      <c r="L629" s="5" t="n"/>
      <c r="M629" s="5" t="n">
        <v>0</v>
      </c>
      <c r="N629" s="5" t="n">
        <v>0</v>
      </c>
      <c r="O629" s="5" t="n">
        <v>31.71</v>
      </c>
    </row>
    <row r="630">
      <c r="A630" s="5" t="inlineStr">
        <is>
          <t>count_kg2_003</t>
        </is>
      </c>
      <c r="B630" s="5" t="n">
        <v>2</v>
      </c>
      <c r="C630" s="5" t="inlineStr">
        <is>
          <t>count_kg2</t>
        </is>
      </c>
      <c r="D630" s="5" t="inlineStr">
        <is>
          <t>airports</t>
        </is>
      </c>
      <c r="E630" s="5" t="inlineStr">
        <is>
          <t>fr</t>
        </is>
      </c>
      <c r="F630" s="5" t="inlineStr">
        <is>
          <t>zero-shot</t>
        </is>
      </c>
      <c r="G630" s="5" t="inlineStr">
        <is>
          <t>count_kg2</t>
        </is>
      </c>
      <c r="H630" s="5" t="inlineStr">
        <is>
          <t>template</t>
        </is>
      </c>
      <c r="I630" s="5" t="b">
        <v>0</v>
      </c>
      <c r="J630" s="5" t="b">
        <v>1</v>
      </c>
      <c r="K630" s="5" t="inlineStr">
        <is>
          <t>success</t>
        </is>
      </c>
      <c r="L630" s="5" t="n"/>
      <c r="M630" s="5" t="n">
        <v>0</v>
      </c>
      <c r="N630" s="5" t="n">
        <v>0</v>
      </c>
      <c r="O630" s="5" t="n">
        <v>21.99</v>
      </c>
    </row>
    <row r="631">
      <c r="A631" s="5" t="inlineStr">
        <is>
          <t>count_kg2_003</t>
        </is>
      </c>
      <c r="B631" s="5" t="n">
        <v>2</v>
      </c>
      <c r="C631" s="5" t="inlineStr">
        <is>
          <t>count_kg2</t>
        </is>
      </c>
      <c r="D631" s="5" t="inlineStr">
        <is>
          <t>airports</t>
        </is>
      </c>
      <c r="E631" s="5" t="inlineStr">
        <is>
          <t>ar</t>
        </is>
      </c>
      <c r="F631" s="5" t="inlineStr">
        <is>
          <t>zero-shot</t>
        </is>
      </c>
      <c r="G631" s="5" t="inlineStr">
        <is>
          <t>count_kg2</t>
        </is>
      </c>
      <c r="H631" s="5" t="inlineStr">
        <is>
          <t>template</t>
        </is>
      </c>
      <c r="I631" s="5" t="b">
        <v>0</v>
      </c>
      <c r="J631" s="5" t="b">
        <v>1</v>
      </c>
      <c r="K631" s="5" t="inlineStr">
        <is>
          <t>success</t>
        </is>
      </c>
      <c r="L631" s="5" t="n"/>
      <c r="M631" s="5" t="n">
        <v>0</v>
      </c>
      <c r="N631" s="5" t="n">
        <v>0</v>
      </c>
      <c r="O631" s="5" t="n">
        <v>17.69</v>
      </c>
    </row>
    <row r="632">
      <c r="A632" s="5" t="inlineStr">
        <is>
          <t>compare_two_flights_002</t>
        </is>
      </c>
      <c r="B632" s="5" t="n">
        <v>2</v>
      </c>
      <c r="C632" s="5" t="inlineStr">
        <is>
          <t>compare_two_flights</t>
        </is>
      </c>
      <c r="D632" s="5" t="inlineStr">
        <is>
          <t>flights</t>
        </is>
      </c>
      <c r="E632" s="5" t="inlineStr">
        <is>
          <t>en</t>
        </is>
      </c>
      <c r="F632" s="5" t="inlineStr">
        <is>
          <t>zero-shot</t>
        </is>
      </c>
      <c r="G632" s="5" t="inlineStr">
        <is>
          <t>compare_two_flights</t>
        </is>
      </c>
      <c r="H632" s="5" t="inlineStr">
        <is>
          <t>open_kg</t>
        </is>
      </c>
      <c r="I632" s="5" t="b">
        <v>0</v>
      </c>
      <c r="J632" s="5" t="b">
        <v>0</v>
      </c>
      <c r="K632" s="5" t="inlineStr">
        <is>
          <t>generation_failure</t>
        </is>
      </c>
      <c r="L632" s="5" t="n"/>
      <c r="M632" s="5" t="n">
        <v>0</v>
      </c>
      <c r="N632" s="5" t="n">
        <v>0</v>
      </c>
      <c r="O632" s="5" t="n">
        <v>66.22</v>
      </c>
    </row>
    <row r="633">
      <c r="A633" s="5" t="inlineStr">
        <is>
          <t>compare_two_flights_002</t>
        </is>
      </c>
      <c r="B633" s="5" t="n">
        <v>2</v>
      </c>
      <c r="C633" s="5" t="inlineStr">
        <is>
          <t>compare_two_flights</t>
        </is>
      </c>
      <c r="D633" s="5" t="inlineStr">
        <is>
          <t>flights</t>
        </is>
      </c>
      <c r="E633" s="5" t="inlineStr">
        <is>
          <t>fr</t>
        </is>
      </c>
      <c r="F633" s="5" t="inlineStr">
        <is>
          <t>zero-shot</t>
        </is>
      </c>
      <c r="G633" s="5" t="inlineStr">
        <is>
          <t>compare_two_flights</t>
        </is>
      </c>
      <c r="H633" s="5" t="inlineStr">
        <is>
          <t>open_kg</t>
        </is>
      </c>
      <c r="I633" s="5" t="b">
        <v>0</v>
      </c>
      <c r="J633" s="5" t="b">
        <v>0</v>
      </c>
      <c r="K633" s="5" t="inlineStr">
        <is>
          <t>generation_failure</t>
        </is>
      </c>
      <c r="L633" s="5" t="n"/>
      <c r="M633" s="5" t="n">
        <v>0</v>
      </c>
      <c r="N633" s="5" t="n">
        <v>0</v>
      </c>
      <c r="O633" s="5" t="n">
        <v>58.65</v>
      </c>
    </row>
    <row r="634">
      <c r="A634" s="5" t="inlineStr">
        <is>
          <t>compare_two_flights_002</t>
        </is>
      </c>
      <c r="B634" s="5" t="n">
        <v>2</v>
      </c>
      <c r="C634" s="5" t="inlineStr">
        <is>
          <t>compare_two_flights</t>
        </is>
      </c>
      <c r="D634" s="5" t="inlineStr">
        <is>
          <t>flights</t>
        </is>
      </c>
      <c r="E634" s="5" t="inlineStr">
        <is>
          <t>ar</t>
        </is>
      </c>
      <c r="F634" s="5" t="inlineStr">
        <is>
          <t>zero-shot</t>
        </is>
      </c>
      <c r="G634" s="5" t="inlineStr">
        <is>
          <t>compare_two_flights</t>
        </is>
      </c>
      <c r="H634" s="5" t="inlineStr">
        <is>
          <t>open_kg</t>
        </is>
      </c>
      <c r="I634" s="5" t="b">
        <v>0</v>
      </c>
      <c r="J634" s="5" t="b">
        <v>0</v>
      </c>
      <c r="K634" s="5" t="inlineStr">
        <is>
          <t>generation_failure</t>
        </is>
      </c>
      <c r="L634" s="5" t="n"/>
      <c r="M634" s="5" t="n">
        <v>0</v>
      </c>
      <c r="N634" s="5" t="n">
        <v>0</v>
      </c>
      <c r="O634" s="5" t="n">
        <v>55.44</v>
      </c>
    </row>
    <row r="635">
      <c r="A635" s="5" t="inlineStr">
        <is>
          <t>compare_two_departments_002</t>
        </is>
      </c>
      <c r="B635" s="5" t="n">
        <v>2</v>
      </c>
      <c r="C635" s="5" t="inlineStr">
        <is>
          <t>compare_two_departments</t>
        </is>
      </c>
      <c r="D635" s="5" t="inlineStr">
        <is>
          <t>university</t>
        </is>
      </c>
      <c r="E635" s="5" t="inlineStr">
        <is>
          <t>en</t>
        </is>
      </c>
      <c r="F635" s="5" t="inlineStr">
        <is>
          <t>zero-shot</t>
        </is>
      </c>
      <c r="G635" s="5" t="inlineStr">
        <is>
          <t>compare_two_departments</t>
        </is>
      </c>
      <c r="H635" s="5" t="inlineStr">
        <is>
          <t>single_kg3</t>
        </is>
      </c>
      <c r="I635" s="5" t="b">
        <v>0</v>
      </c>
      <c r="J635" s="5" t="b">
        <v>0</v>
      </c>
      <c r="K635" s="5" t="inlineStr">
        <is>
          <t>mapping_failure</t>
        </is>
      </c>
      <c r="L635" s="5" t="n"/>
      <c r="M635" s="5" t="n">
        <v>0</v>
      </c>
      <c r="N635" s="5" t="n">
        <v>0</v>
      </c>
      <c r="O635" s="5" t="n">
        <v>5.14</v>
      </c>
    </row>
    <row r="636">
      <c r="A636" s="5" t="inlineStr">
        <is>
          <t>compare_two_departments_002</t>
        </is>
      </c>
      <c r="B636" s="5" t="n">
        <v>2</v>
      </c>
      <c r="C636" s="5" t="inlineStr">
        <is>
          <t>compare_two_departments</t>
        </is>
      </c>
      <c r="D636" s="5" t="inlineStr">
        <is>
          <t>university</t>
        </is>
      </c>
      <c r="E636" s="5" t="inlineStr">
        <is>
          <t>fr</t>
        </is>
      </c>
      <c r="F636" s="5" t="inlineStr">
        <is>
          <t>zero-shot</t>
        </is>
      </c>
      <c r="G636" s="5" t="inlineStr">
        <is>
          <t>compare_two_departments</t>
        </is>
      </c>
      <c r="H636" s="5" t="inlineStr">
        <is>
          <t>single_kg3</t>
        </is>
      </c>
      <c r="I636" s="5" t="b">
        <v>0</v>
      </c>
      <c r="J636" s="5" t="b">
        <v>0</v>
      </c>
      <c r="K636" s="5" t="inlineStr">
        <is>
          <t>mapping_failure</t>
        </is>
      </c>
      <c r="L636" s="5" t="n"/>
      <c r="M636" s="5" t="n">
        <v>0</v>
      </c>
      <c r="N636" s="5" t="n">
        <v>0</v>
      </c>
      <c r="O636" s="5" t="n">
        <v>3.36</v>
      </c>
    </row>
    <row r="637">
      <c r="A637" s="5" t="inlineStr">
        <is>
          <t>compare_two_departments_002</t>
        </is>
      </c>
      <c r="B637" s="5" t="n">
        <v>2</v>
      </c>
      <c r="C637" s="5" t="inlineStr">
        <is>
          <t>compare_two_departments</t>
        </is>
      </c>
      <c r="D637" s="5" t="inlineStr">
        <is>
          <t>university</t>
        </is>
      </c>
      <c r="E637" s="5" t="inlineStr">
        <is>
          <t>ar</t>
        </is>
      </c>
      <c r="F637" s="5" t="inlineStr">
        <is>
          <t>zero-shot</t>
        </is>
      </c>
      <c r="G637" s="5" t="inlineStr">
        <is>
          <t>compare_two_departments</t>
        </is>
      </c>
      <c r="H637" s="5" t="inlineStr">
        <is>
          <t>out_of_scope</t>
        </is>
      </c>
      <c r="I637" s="5" t="b">
        <v>0</v>
      </c>
      <c r="J637" s="5" t="b">
        <v>0</v>
      </c>
      <c r="K637" s="5" t="inlineStr">
        <is>
          <t>routing_miss</t>
        </is>
      </c>
      <c r="L637" s="5" t="n"/>
      <c r="M637" s="5" t="n">
        <v>0</v>
      </c>
      <c r="N637" s="5" t="n">
        <v>0</v>
      </c>
      <c r="O637" s="5" t="n">
        <v>7.93</v>
      </c>
    </row>
  </sheetData>
  <autoFilter ref="A1:O6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2026-08-30T10:22:53Z</dcterms:created>
  <dcterms:modified xsi:type="dcterms:W3CDTF">2026-08-30T10:22:54Z</dcterms:modified>
</cp:coreProperties>
</file>