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'Raw'!$A$1:$O$555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COUNTIF(Raw!E2:E555,"en")</f>
        <v/>
      </c>
      <c r="C6" s="6">
        <f>IFERROR(COUNTIFS(Raw!E2:E555,"en",Raw!I2:I555,TRUE)/COUNTIF(Raw!E2:E555,"en"),"")</f>
        <v/>
      </c>
      <c r="D6" s="6">
        <f>IFERROR(COUNTIFS(Raw!E2:E555,"en",Raw!K2:K555,"success")/COUNTIF(Raw!E2:E555,"en"),"")</f>
        <v/>
      </c>
      <c r="E6" s="6">
        <f>IFERROR(COUNTIFS(Raw!E2:E555,"en",Raw!J2:J555,TRUE)/COUNTIF(Raw!E2:E555,"en"),"")</f>
        <v/>
      </c>
      <c r="F6" s="6">
        <f>IFERROR(AVERAGEIFS(Raw!M2:M555,Raw!E2:E555,"en"),"")</f>
        <v/>
      </c>
      <c r="G6" s="6">
        <f>IFERROR(AVERAGEIFS(Raw!N2:N555,Raw!E2:E555,"en"),"")</f>
        <v/>
      </c>
    </row>
    <row r="7">
      <c r="A7" s="5" t="inlineStr">
        <is>
          <t>fr</t>
        </is>
      </c>
      <c r="B7" s="5">
        <f>COUNTIF(Raw!E2:E555,"fr")</f>
        <v/>
      </c>
      <c r="C7" s="6">
        <f>IFERROR(COUNTIFS(Raw!E2:E555,"fr",Raw!I2:I555,TRUE)/COUNTIF(Raw!E2:E555,"fr"),"")</f>
        <v/>
      </c>
      <c r="D7" s="6">
        <f>IFERROR(COUNTIFS(Raw!E2:E555,"fr",Raw!K2:K555,"success")/COUNTIF(Raw!E2:E555,"fr"),"")</f>
        <v/>
      </c>
      <c r="E7" s="6">
        <f>IFERROR(COUNTIFS(Raw!E2:E555,"fr",Raw!J2:J555,TRUE)/COUNTIF(Raw!E2:E555,"fr"),"")</f>
        <v/>
      </c>
      <c r="F7" s="6">
        <f>IFERROR(AVERAGEIFS(Raw!M2:M555,Raw!E2:E555,"fr"),"")</f>
        <v/>
      </c>
      <c r="G7" s="6">
        <f>IFERROR(AVERAGEIFS(Raw!N2:N555,Raw!E2:E555,"fr"),"")</f>
        <v/>
      </c>
    </row>
    <row r="8">
      <c r="A8" s="5" t="inlineStr">
        <is>
          <t>ar</t>
        </is>
      </c>
      <c r="B8" s="5">
        <f>COUNTIF(Raw!E2:E555,"ar")</f>
        <v/>
      </c>
      <c r="C8" s="6">
        <f>IFERROR(COUNTIFS(Raw!E2:E555,"ar",Raw!I2:I555,TRUE)/COUNTIF(Raw!E2:E555,"ar"),"")</f>
        <v/>
      </c>
      <c r="D8" s="6">
        <f>IFERROR(COUNTIFS(Raw!E2:E555,"ar",Raw!K2:K555,"success")/COUNTIF(Raw!E2:E555,"ar"),"")</f>
        <v/>
      </c>
      <c r="E8" s="6">
        <f>IFERROR(COUNTIFS(Raw!E2:E555,"ar",Raw!J2:J555,TRUE)/COUNTIF(Raw!E2:E555,"ar"),"")</f>
        <v/>
      </c>
      <c r="F8" s="6">
        <f>IFERROR(AVERAGEIFS(Raw!M2:M555,Raw!E2:E555,"ar"),"")</f>
        <v/>
      </c>
      <c r="G8" s="6">
        <f>IFERROR(AVERAGEIFS(Raw!N2:N555,Raw!E2:E555,"ar"),"")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COUNTIF(Raw!F2:F555,"zero-shot")</f>
        <v/>
      </c>
      <c r="C12" s="6">
        <f>IFERROR(COUNTIFS(Raw!F2:F555,"zero-shot",Raw!I2:I555,TRUE)/COUNTIF(Raw!F2:F555,"zero-shot"),"")</f>
        <v/>
      </c>
      <c r="D12" s="6">
        <f>IFERROR(COUNTIFS(Raw!F2:F555,"zero-shot",Raw!K2:K555,"success")/COUNTIF(Raw!F2:F555,"zero-shot"),"")</f>
        <v/>
      </c>
      <c r="E12" s="6">
        <f>IFERROR(COUNTIFS(Raw!F2:F555,"zero-shot",Raw!J2:J555,TRUE)/COUNTIF(Raw!F2:F555,"zero-shot"),"")</f>
        <v/>
      </c>
      <c r="F12" s="6">
        <f>IFERROR(AVERAGEIFS(Raw!M2:M555,Raw!F2:F555,"zero-shot"),"")</f>
        <v/>
      </c>
      <c r="G12" s="6">
        <f>IFERROR(AVERAGEIFS(Raw!N2:N555,Raw!F2:F555,"zero-shot"),"")</f>
        <v/>
      </c>
    </row>
    <row r="13">
      <c r="A13" s="5" t="inlineStr">
        <is>
          <t>few-shot</t>
        </is>
      </c>
      <c r="B13" s="5">
        <f>COUNTIF(Raw!F2:F555,"few-shot")</f>
        <v/>
      </c>
      <c r="C13" s="6">
        <f>IFERROR(COUNTIFS(Raw!F2:F555,"few-shot",Raw!I2:I555,TRUE)/COUNTIF(Raw!F2:F555,"few-shot"),"")</f>
        <v/>
      </c>
      <c r="D13" s="6">
        <f>IFERROR(COUNTIFS(Raw!F2:F555,"few-shot",Raw!K2:K555,"success")/COUNTIF(Raw!F2:F555,"few-shot"),"")</f>
        <v/>
      </c>
      <c r="E13" s="6">
        <f>IFERROR(COUNTIFS(Raw!F2:F555,"few-shot",Raw!J2:J555,TRUE)/COUNTIF(Raw!F2:F555,"few-shot"),"")</f>
        <v/>
      </c>
      <c r="F13" s="6">
        <f>IFERROR(AVERAGEIFS(Raw!M2:M555,Raw!F2:F555,"few-shot"),"")</f>
        <v/>
      </c>
      <c r="G13" s="6">
        <f>IFERROR(AVERAGEIFS(Raw!N2:N555,Raw!F2:F555,"few-shot"),"")</f>
        <v/>
      </c>
    </row>
    <row r="14">
      <c r="A14" s="5" t="inlineStr">
        <is>
          <t>cot</t>
        </is>
      </c>
      <c r="B14" s="5">
        <f>COUNTIF(Raw!F2:F555,"cot")</f>
        <v/>
      </c>
      <c r="C14" s="6">
        <f>IFERROR(COUNTIFS(Raw!F2:F555,"cot",Raw!I2:I555,TRUE)/COUNTIF(Raw!F2:F555,"cot"),"")</f>
        <v/>
      </c>
      <c r="D14" s="6">
        <f>IFERROR(COUNTIFS(Raw!F2:F555,"cot",Raw!K2:K555,"success")/COUNTIF(Raw!F2:F555,"cot"),"")</f>
        <v/>
      </c>
      <c r="E14" s="6">
        <f>IFERROR(COUNTIFS(Raw!F2:F555,"cot",Raw!J2:J555,TRUE)/COUNTIF(Raw!F2:F555,"cot"),"")</f>
        <v/>
      </c>
      <c r="F14" s="6">
        <f>IFERROR(AVERAGEIFS(Raw!M2:M555,Raw!F2:F555,"cot"),"")</f>
        <v/>
      </c>
      <c r="G14" s="6">
        <f>IFERROR(AVERAGEIFS(Raw!N2:N555,Raw!F2:F555,"cot"),"")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COUNTIF(Raw!B2:B555,"1")</f>
        <v/>
      </c>
      <c r="C18" s="6">
        <f>IFERROR(COUNTIFS(Raw!B2:B555,"1",Raw!I2:I555,TRUE)/COUNTIF(Raw!B2:B555,"1"),"")</f>
        <v/>
      </c>
      <c r="D18" s="6">
        <f>IFERROR(COUNTIFS(Raw!B2:B555,"1",Raw!K2:K555,"success")/COUNTIF(Raw!B2:B555,"1"),"")</f>
        <v/>
      </c>
      <c r="E18" s="6">
        <f>IFERROR(COUNTIFS(Raw!B2:B555,"1",Raw!J2:J555,TRUE)/COUNTIF(Raw!B2:B555,"1"),"")</f>
        <v/>
      </c>
      <c r="F18" s="6">
        <f>IFERROR(AVERAGEIFS(Raw!M2:M555,Raw!B2:B555,"1"),"")</f>
        <v/>
      </c>
      <c r="G18" s="6">
        <f>IFERROR(AVERAGEIFS(Raw!N2:N555,Raw!B2:B555,"1"),"")</f>
        <v/>
      </c>
    </row>
    <row r="19">
      <c r="A19" s="5" t="n">
        <v>2</v>
      </c>
      <c r="B19" s="5">
        <f>COUNTIF(Raw!B2:B555,"2")</f>
        <v/>
      </c>
      <c r="C19" s="6">
        <f>IFERROR(COUNTIFS(Raw!B2:B555,"2",Raw!I2:I555,TRUE)/COUNTIF(Raw!B2:B555,"2"),"")</f>
        <v/>
      </c>
      <c r="D19" s="6">
        <f>IFERROR(COUNTIFS(Raw!B2:B555,"2",Raw!K2:K555,"success")/COUNTIF(Raw!B2:B555,"2"),"")</f>
        <v/>
      </c>
      <c r="E19" s="6">
        <f>IFERROR(COUNTIFS(Raw!B2:B555,"2",Raw!J2:J555,TRUE)/COUNTIF(Raw!B2:B555,"2"),"")</f>
        <v/>
      </c>
      <c r="F19" s="6">
        <f>IFERROR(AVERAGEIFS(Raw!M2:M555,Raw!B2:B555,"2"),"")</f>
        <v/>
      </c>
      <c r="G19" s="6">
        <f>IFERROR(AVERAGEIFS(Raw!N2:N555,Raw!B2:B555,"2"),"")</f>
        <v/>
      </c>
    </row>
    <row r="20">
      <c r="A20" s="5" t="n">
        <v>3</v>
      </c>
      <c r="B20" s="5">
        <f>COUNTIF(Raw!B2:B555,"3")</f>
        <v/>
      </c>
      <c r="C20" s="6">
        <f>IFERROR(COUNTIFS(Raw!B2:B555,"3",Raw!I2:I555,TRUE)/COUNTIF(Raw!B2:B555,"3"),"")</f>
        <v/>
      </c>
      <c r="D20" s="6">
        <f>IFERROR(COUNTIFS(Raw!B2:B555,"3",Raw!K2:K555,"success")/COUNTIF(Raw!B2:B555,"3"),"")</f>
        <v/>
      </c>
      <c r="E20" s="6">
        <f>IFERROR(COUNTIFS(Raw!B2:B555,"3",Raw!J2:J555,TRUE)/COUNTIF(Raw!B2:B555,"3"),"")</f>
        <v/>
      </c>
      <c r="F20" s="6">
        <f>IFERROR(AVERAGEIFS(Raw!M2:M555,Raw!B2:B555,"3"),"")</f>
        <v/>
      </c>
      <c r="G20" s="6">
        <f>IFERROR(AVERAGEIFS(Raw!N2:N555,Raw!B2:B555,"3"),"")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COUNTIF(Raw!C2:C555,"single_kg1")</f>
        <v/>
      </c>
      <c r="C24" s="6">
        <f>IFERROR(COUNTIFS(Raw!C2:C555,"single_kg1",Raw!I2:I555,TRUE)/COUNTIF(Raw!C2:C555,"single_kg1"),"")</f>
        <v/>
      </c>
      <c r="D24" s="6">
        <f>IFERROR(COUNTIFS(Raw!C2:C555,"single_kg1",Raw!K2:K555,"success")/COUNTIF(Raw!C2:C555,"single_kg1"),"")</f>
        <v/>
      </c>
      <c r="E24" s="6">
        <f>IFERROR(COUNTIFS(Raw!C2:C555,"single_kg1",Raw!J2:J555,TRUE)/COUNTIF(Raw!C2:C555,"single_kg1"),"")</f>
        <v/>
      </c>
      <c r="F24" s="6">
        <f>IFERROR(AVERAGEIFS(Raw!M2:M555,Raw!C2:C555,"single_kg1"),"")</f>
        <v/>
      </c>
      <c r="G24" s="6">
        <f>IFERROR(AVERAGEIFS(Raw!N2:N555,Raw!C2:C555,"single_kg1"),"")</f>
        <v/>
      </c>
    </row>
    <row r="25">
      <c r="A25" s="5" t="inlineStr">
        <is>
          <t>single_kg2</t>
        </is>
      </c>
      <c r="B25" s="5">
        <f>COUNTIF(Raw!C2:C555,"single_kg2")</f>
        <v/>
      </c>
      <c r="C25" s="6">
        <f>IFERROR(COUNTIFS(Raw!C2:C555,"single_kg2",Raw!I2:I555,TRUE)/COUNTIF(Raw!C2:C555,"single_kg2"),"")</f>
        <v/>
      </c>
      <c r="D25" s="6">
        <f>IFERROR(COUNTIFS(Raw!C2:C555,"single_kg2",Raw!K2:K555,"success")/COUNTIF(Raw!C2:C555,"single_kg2"),"")</f>
        <v/>
      </c>
      <c r="E25" s="6">
        <f>IFERROR(COUNTIFS(Raw!C2:C555,"single_kg2",Raw!J2:J555,TRUE)/COUNTIF(Raw!C2:C555,"single_kg2"),"")</f>
        <v/>
      </c>
      <c r="F25" s="6">
        <f>IFERROR(AVERAGEIFS(Raw!M2:M555,Raw!C2:C555,"single_kg2"),"")</f>
        <v/>
      </c>
      <c r="G25" s="6">
        <f>IFERROR(AVERAGEIFS(Raw!N2:N555,Raw!C2:C555,"single_kg2"),"")</f>
        <v/>
      </c>
    </row>
    <row r="26">
      <c r="A26" s="5" t="inlineStr">
        <is>
          <t>single_kg3</t>
        </is>
      </c>
      <c r="B26" s="5">
        <f>COUNTIF(Raw!C2:C555,"single_kg3")</f>
        <v/>
      </c>
      <c r="C26" s="6">
        <f>IFERROR(COUNTIFS(Raw!C2:C555,"single_kg3",Raw!I2:I555,TRUE)/COUNTIF(Raw!C2:C555,"single_kg3"),"")</f>
        <v/>
      </c>
      <c r="D26" s="6">
        <f>IFERROR(COUNTIFS(Raw!C2:C555,"single_kg3",Raw!K2:K555,"success")/COUNTIF(Raw!C2:C555,"single_kg3"),"")</f>
        <v/>
      </c>
      <c r="E26" s="6">
        <f>IFERROR(COUNTIFS(Raw!C2:C555,"single_kg3",Raw!J2:J555,TRUE)/COUNTIF(Raw!C2:C555,"single_kg3"),"")</f>
        <v/>
      </c>
      <c r="F26" s="6">
        <f>IFERROR(AVERAGEIFS(Raw!M2:M555,Raw!C2:C555,"single_kg3"),"")</f>
        <v/>
      </c>
      <c r="G26" s="6">
        <f>IFERROR(AVERAGEIFS(Raw!N2:N555,Raw!C2:C555,"single_kg3"),"")</f>
        <v/>
      </c>
    </row>
    <row r="27">
      <c r="A27" s="5" t="inlineStr">
        <is>
          <t>cross_kg</t>
        </is>
      </c>
      <c r="B27" s="5">
        <f>COUNTIF(Raw!C2:C555,"cross_kg")</f>
        <v/>
      </c>
      <c r="C27" s="6">
        <f>IFERROR(COUNTIFS(Raw!C2:C555,"cross_kg",Raw!I2:I555,TRUE)/COUNTIF(Raw!C2:C555,"cross_kg"),"")</f>
        <v/>
      </c>
      <c r="D27" s="6">
        <f>IFERROR(COUNTIFS(Raw!C2:C555,"cross_kg",Raw!K2:K555,"success")/COUNTIF(Raw!C2:C555,"cross_kg"),"")</f>
        <v/>
      </c>
      <c r="E27" s="6">
        <f>IFERROR(COUNTIFS(Raw!C2:C555,"cross_kg",Raw!J2:J555,TRUE)/COUNTIF(Raw!C2:C555,"cross_kg"),"")</f>
        <v/>
      </c>
      <c r="F27" s="6">
        <f>IFERROR(AVERAGEIFS(Raw!M2:M555,Raw!C2:C555,"cross_kg"),"")</f>
        <v/>
      </c>
      <c r="G27" s="6">
        <f>IFERROR(AVERAGEIFS(Raw!N2:N555,Raw!C2:C555,"cross_kg"),"")</f>
        <v/>
      </c>
    </row>
    <row r="28">
      <c r="A28" s="5" t="inlineStr">
        <is>
          <t>open_kg</t>
        </is>
      </c>
      <c r="B28" s="5">
        <f>COUNTIF(Raw!C2:C555,"open_kg")</f>
        <v/>
      </c>
      <c r="C28" s="6">
        <f>IFERROR(COUNTIFS(Raw!C2:C555,"open_kg",Raw!I2:I555,TRUE)/COUNTIF(Raw!C2:C555,"open_kg"),"")</f>
        <v/>
      </c>
      <c r="D28" s="6">
        <f>IFERROR(COUNTIFS(Raw!C2:C555,"open_kg",Raw!K2:K555,"success")/COUNTIF(Raw!C2:C555,"open_kg"),"")</f>
        <v/>
      </c>
      <c r="E28" s="6">
        <f>IFERROR(COUNTIFS(Raw!C2:C555,"open_kg",Raw!J2:J555,TRUE)/COUNTIF(Raw!C2:C555,"open_kg"),"")</f>
        <v/>
      </c>
      <c r="F28" s="6">
        <f>IFERROR(AVERAGEIFS(Raw!M2:M555,Raw!C2:C555,"open_kg"),"")</f>
        <v/>
      </c>
      <c r="G28" s="6">
        <f>IFERROR(AVERAGEIFS(Raw!N2:N555,Raw!C2:C555,"open_kg"),"")</f>
        <v/>
      </c>
    </row>
    <row r="29">
      <c r="A29" s="5" t="inlineStr">
        <is>
          <t>count_kg1</t>
        </is>
      </c>
      <c r="B29" s="5">
        <f>COUNTIF(Raw!C2:C555,"count_kg1")</f>
        <v/>
      </c>
      <c r="C29" s="6">
        <f>IFERROR(COUNTIFS(Raw!C2:C555,"count_kg1",Raw!I2:I555,TRUE)/COUNTIF(Raw!C2:C555,"count_kg1"),"")</f>
        <v/>
      </c>
      <c r="D29" s="6">
        <f>IFERROR(COUNTIFS(Raw!C2:C555,"count_kg1",Raw!K2:K555,"success")/COUNTIF(Raw!C2:C555,"count_kg1"),"")</f>
        <v/>
      </c>
      <c r="E29" s="6">
        <f>IFERROR(COUNTIFS(Raw!C2:C555,"count_kg1",Raw!J2:J555,TRUE)/COUNTIF(Raw!C2:C555,"count_kg1"),"")</f>
        <v/>
      </c>
      <c r="F29" s="6">
        <f>IFERROR(AVERAGEIFS(Raw!M2:M555,Raw!C2:C555,"count_kg1"),"")</f>
        <v/>
      </c>
      <c r="G29" s="6">
        <f>IFERROR(AVERAGEIFS(Raw!N2:N555,Raw!C2:C555,"count_kg1"),"")</f>
        <v/>
      </c>
    </row>
    <row r="30">
      <c r="A30" s="5" t="inlineStr">
        <is>
          <t>count_kg2</t>
        </is>
      </c>
      <c r="B30" s="5">
        <f>COUNTIF(Raw!C2:C555,"count_kg2")</f>
        <v/>
      </c>
      <c r="C30" s="6">
        <f>IFERROR(COUNTIFS(Raw!C2:C555,"count_kg2",Raw!I2:I555,TRUE)/COUNTIF(Raw!C2:C555,"count_kg2"),"")</f>
        <v/>
      </c>
      <c r="D30" s="6">
        <f>IFERROR(COUNTIFS(Raw!C2:C555,"count_kg2",Raw!K2:K555,"success")/COUNTIF(Raw!C2:C555,"count_kg2"),"")</f>
        <v/>
      </c>
      <c r="E30" s="6">
        <f>IFERROR(COUNTIFS(Raw!C2:C555,"count_kg2",Raw!J2:J555,TRUE)/COUNTIF(Raw!C2:C555,"count_kg2"),"")</f>
        <v/>
      </c>
      <c r="F30" s="6">
        <f>IFERROR(AVERAGEIFS(Raw!M2:M555,Raw!C2:C555,"count_kg2"),"")</f>
        <v/>
      </c>
      <c r="G30" s="6">
        <f>IFERROR(AVERAGEIFS(Raw!N2:N555,Raw!C2:C555,"count_kg2"),"")</f>
        <v/>
      </c>
    </row>
    <row r="31">
      <c r="A31" s="5" t="inlineStr">
        <is>
          <t>count_kg3</t>
        </is>
      </c>
      <c r="B31" s="5">
        <f>COUNTIF(Raw!C2:C555,"count_kg3")</f>
        <v/>
      </c>
      <c r="C31" s="6">
        <f>IFERROR(COUNTIFS(Raw!C2:C555,"count_kg3",Raw!I2:I555,TRUE)/COUNTIF(Raw!C2:C555,"count_kg3"),"")</f>
        <v/>
      </c>
      <c r="D31" s="6">
        <f>IFERROR(COUNTIFS(Raw!C2:C555,"count_kg3",Raw!K2:K555,"success")/COUNTIF(Raw!C2:C555,"count_kg3"),"")</f>
        <v/>
      </c>
      <c r="E31" s="6">
        <f>IFERROR(COUNTIFS(Raw!C2:C555,"count_kg3",Raw!J2:J555,TRUE)/COUNTIF(Raw!C2:C555,"count_kg3"),"")</f>
        <v/>
      </c>
      <c r="F31" s="6">
        <f>IFERROR(AVERAGEIFS(Raw!M2:M555,Raw!C2:C555,"count_kg3"),"")</f>
        <v/>
      </c>
      <c r="G31" s="6">
        <f>IFERROR(AVERAGEIFS(Raw!N2:N555,Raw!C2:C555,"count_kg3"),"")</f>
        <v/>
      </c>
    </row>
    <row r="32">
      <c r="A32" s="5" t="inlineStr">
        <is>
          <t>filter_numeric_kg1</t>
        </is>
      </c>
      <c r="B32" s="5">
        <f>COUNTIF(Raw!C2:C555,"filter_numeric_kg1")</f>
        <v/>
      </c>
      <c r="C32" s="6">
        <f>IFERROR(COUNTIFS(Raw!C2:C555,"filter_numeric_kg1",Raw!I2:I555,TRUE)/COUNTIF(Raw!C2:C555,"filter_numeric_kg1"),"")</f>
        <v/>
      </c>
      <c r="D32" s="6">
        <f>IFERROR(COUNTIFS(Raw!C2:C555,"filter_numeric_kg1",Raw!K2:K555,"success")/COUNTIF(Raw!C2:C555,"filter_numeric_kg1"),"")</f>
        <v/>
      </c>
      <c r="E32" s="6">
        <f>IFERROR(COUNTIFS(Raw!C2:C555,"filter_numeric_kg1",Raw!J2:J555,TRUE)/COUNTIF(Raw!C2:C555,"filter_numeric_kg1"),"")</f>
        <v/>
      </c>
      <c r="F32" s="6">
        <f>IFERROR(AVERAGEIFS(Raw!M2:M555,Raw!C2:C555,"filter_numeric_kg1"),"")</f>
        <v/>
      </c>
      <c r="G32" s="6">
        <f>IFERROR(AVERAGEIFS(Raw!N2:N555,Raw!C2:C555,"filter_numeric_kg1"),"")</f>
        <v/>
      </c>
    </row>
    <row r="33">
      <c r="A33" s="5" t="inlineStr">
        <is>
          <t>filter_numeric_kg2</t>
        </is>
      </c>
      <c r="B33" s="5">
        <f>COUNTIF(Raw!C2:C555,"filter_numeric_kg2")</f>
        <v/>
      </c>
      <c r="C33" s="6">
        <f>IFERROR(COUNTIFS(Raw!C2:C555,"filter_numeric_kg2",Raw!I2:I555,TRUE)/COUNTIF(Raw!C2:C555,"filter_numeric_kg2"),"")</f>
        <v/>
      </c>
      <c r="D33" s="6">
        <f>IFERROR(COUNTIFS(Raw!C2:C555,"filter_numeric_kg2",Raw!K2:K555,"success")/COUNTIF(Raw!C2:C555,"filter_numeric_kg2"),"")</f>
        <v/>
      </c>
      <c r="E33" s="6">
        <f>IFERROR(COUNTIFS(Raw!C2:C555,"filter_numeric_kg2",Raw!J2:J555,TRUE)/COUNTIF(Raw!C2:C555,"filter_numeric_kg2"),"")</f>
        <v/>
      </c>
      <c r="F33" s="6">
        <f>IFERROR(AVERAGEIFS(Raw!M2:M555,Raw!C2:C555,"filter_numeric_kg2"),"")</f>
        <v/>
      </c>
      <c r="G33" s="6">
        <f>IFERROR(AVERAGEIFS(Raw!N2:N555,Raw!C2:C555,"filter_numeric_kg2"),"")</f>
        <v/>
      </c>
    </row>
    <row r="34">
      <c r="A34" s="5" t="inlineStr">
        <is>
          <t>filter_numeric_kg3</t>
        </is>
      </c>
      <c r="B34" s="5">
        <f>COUNTIF(Raw!C2:C555,"filter_numeric_kg3")</f>
        <v/>
      </c>
      <c r="C34" s="6">
        <f>IFERROR(COUNTIFS(Raw!C2:C555,"filter_numeric_kg3",Raw!I2:I555,TRUE)/COUNTIF(Raw!C2:C555,"filter_numeric_kg3"),"")</f>
        <v/>
      </c>
      <c r="D34" s="6">
        <f>IFERROR(COUNTIFS(Raw!C2:C555,"filter_numeric_kg3",Raw!K2:K555,"success")/COUNTIF(Raw!C2:C555,"filter_numeric_kg3"),"")</f>
        <v/>
      </c>
      <c r="E34" s="6">
        <f>IFERROR(COUNTIFS(Raw!C2:C555,"filter_numeric_kg3",Raw!J2:J555,TRUE)/COUNTIF(Raw!C2:C555,"filter_numeric_kg3"),"")</f>
        <v/>
      </c>
      <c r="F34" s="6">
        <f>IFERROR(AVERAGEIFS(Raw!M2:M555,Raw!C2:C555,"filter_numeric_kg3"),"")</f>
        <v/>
      </c>
      <c r="G34" s="6">
        <f>IFERROR(AVERAGEIFS(Raw!N2:N555,Raw!C2:C555,"filter_numeric_kg3"),"")</f>
        <v/>
      </c>
    </row>
    <row r="35">
      <c r="A35" s="5" t="inlineStr">
        <is>
          <t>filter_string_kg2</t>
        </is>
      </c>
      <c r="B35" s="5">
        <f>COUNTIF(Raw!C2:C555,"filter_string_kg2")</f>
        <v/>
      </c>
      <c r="C35" s="6">
        <f>IFERROR(COUNTIFS(Raw!C2:C555,"filter_string_kg2",Raw!I2:I555,TRUE)/COUNTIF(Raw!C2:C555,"filter_string_kg2"),"")</f>
        <v/>
      </c>
      <c r="D35" s="6">
        <f>IFERROR(COUNTIFS(Raw!C2:C555,"filter_string_kg2",Raw!K2:K555,"success")/COUNTIF(Raw!C2:C555,"filter_string_kg2"),"")</f>
        <v/>
      </c>
      <c r="E35" s="6">
        <f>IFERROR(COUNTIFS(Raw!C2:C555,"filter_string_kg2",Raw!J2:J555,TRUE)/COUNTIF(Raw!C2:C555,"filter_string_kg2"),"")</f>
        <v/>
      </c>
      <c r="F35" s="6">
        <f>IFERROR(AVERAGEIFS(Raw!M2:M555,Raw!C2:C555,"filter_string_kg2"),"")</f>
        <v/>
      </c>
      <c r="G35" s="6">
        <f>IFERROR(AVERAGEIFS(Raw!N2:N555,Raw!C2:C555,"filter_string_kg2"),"")</f>
        <v/>
      </c>
    </row>
    <row r="36">
      <c r="A36" s="5" t="inlineStr">
        <is>
          <t>filter_string_kg3</t>
        </is>
      </c>
      <c r="B36" s="5">
        <f>COUNTIF(Raw!C2:C555,"filter_string_kg3")</f>
        <v/>
      </c>
      <c r="C36" s="6">
        <f>IFERROR(COUNTIFS(Raw!C2:C555,"filter_string_kg3",Raw!I2:I555,TRUE)/COUNTIF(Raw!C2:C555,"filter_string_kg3"),"")</f>
        <v/>
      </c>
      <c r="D36" s="6">
        <f>IFERROR(COUNTIFS(Raw!C2:C555,"filter_string_kg3",Raw!K2:K555,"success")/COUNTIF(Raw!C2:C555,"filter_string_kg3"),"")</f>
        <v/>
      </c>
      <c r="E36" s="6">
        <f>IFERROR(COUNTIFS(Raw!C2:C555,"filter_string_kg3",Raw!J2:J555,TRUE)/COUNTIF(Raw!C2:C555,"filter_string_kg3"),"")</f>
        <v/>
      </c>
      <c r="F36" s="6">
        <f>IFERROR(AVERAGEIFS(Raw!M2:M555,Raw!C2:C555,"filter_string_kg3"),"")</f>
        <v/>
      </c>
      <c r="G36" s="6">
        <f>IFERROR(AVERAGEIFS(Raw!N2:N555,Raw!C2:C555,"filter_string_kg3"),"")</f>
        <v/>
      </c>
    </row>
    <row r="37">
      <c r="A37" s="5" t="inlineStr">
        <is>
          <t>ranking_kg1</t>
        </is>
      </c>
      <c r="B37" s="5">
        <f>COUNTIF(Raw!C2:C555,"ranking_kg1")</f>
        <v/>
      </c>
      <c r="C37" s="6">
        <f>IFERROR(COUNTIFS(Raw!C2:C555,"ranking_kg1",Raw!I2:I555,TRUE)/COUNTIF(Raw!C2:C555,"ranking_kg1"),"")</f>
        <v/>
      </c>
      <c r="D37" s="6">
        <f>IFERROR(COUNTIFS(Raw!C2:C555,"ranking_kg1",Raw!K2:K555,"success")/COUNTIF(Raw!C2:C555,"ranking_kg1"),"")</f>
        <v/>
      </c>
      <c r="E37" s="6">
        <f>IFERROR(COUNTIFS(Raw!C2:C555,"ranking_kg1",Raw!J2:J555,TRUE)/COUNTIF(Raw!C2:C555,"ranking_kg1"),"")</f>
        <v/>
      </c>
      <c r="F37" s="6">
        <f>IFERROR(AVERAGEIFS(Raw!M2:M555,Raw!C2:C555,"ranking_kg1"),"")</f>
        <v/>
      </c>
      <c r="G37" s="6">
        <f>IFERROR(AVERAGEIFS(Raw!N2:N555,Raw!C2:C555,"ranking_kg1"),"")</f>
        <v/>
      </c>
    </row>
    <row r="38">
      <c r="A38" s="5" t="inlineStr">
        <is>
          <t>ranking_kg2</t>
        </is>
      </c>
      <c r="B38" s="5">
        <f>COUNTIF(Raw!C2:C555,"ranking_kg2")</f>
        <v/>
      </c>
      <c r="C38" s="6">
        <f>IFERROR(COUNTIFS(Raw!C2:C555,"ranking_kg2",Raw!I2:I555,TRUE)/COUNTIF(Raw!C2:C555,"ranking_kg2"),"")</f>
        <v/>
      </c>
      <c r="D38" s="6">
        <f>IFERROR(COUNTIFS(Raw!C2:C555,"ranking_kg2",Raw!K2:K555,"success")/COUNTIF(Raw!C2:C555,"ranking_kg2"),"")</f>
        <v/>
      </c>
      <c r="E38" s="6">
        <f>IFERROR(COUNTIFS(Raw!C2:C555,"ranking_kg2",Raw!J2:J555,TRUE)/COUNTIF(Raw!C2:C555,"ranking_kg2"),"")</f>
        <v/>
      </c>
      <c r="F38" s="6">
        <f>IFERROR(AVERAGEIFS(Raw!M2:M555,Raw!C2:C555,"ranking_kg2"),"")</f>
        <v/>
      </c>
      <c r="G38" s="6">
        <f>IFERROR(AVERAGEIFS(Raw!N2:N555,Raw!C2:C555,"ranking_kg2"),"")</f>
        <v/>
      </c>
    </row>
    <row r="39">
      <c r="A39" s="5" t="inlineStr">
        <is>
          <t>ranking_kg3</t>
        </is>
      </c>
      <c r="B39" s="5">
        <f>COUNTIF(Raw!C2:C555,"ranking_kg3")</f>
        <v/>
      </c>
      <c r="C39" s="6">
        <f>IFERROR(COUNTIFS(Raw!C2:C555,"ranking_kg3",Raw!I2:I555,TRUE)/COUNTIF(Raw!C2:C555,"ranking_kg3"),"")</f>
        <v/>
      </c>
      <c r="D39" s="6">
        <f>IFERROR(COUNTIFS(Raw!C2:C555,"ranking_kg3",Raw!K2:K555,"success")/COUNTIF(Raw!C2:C555,"ranking_kg3"),"")</f>
        <v/>
      </c>
      <c r="E39" s="6">
        <f>IFERROR(COUNTIFS(Raw!C2:C555,"ranking_kg3",Raw!J2:J555,TRUE)/COUNTIF(Raw!C2:C555,"ranking_kg3"),"")</f>
        <v/>
      </c>
      <c r="F39" s="6">
        <f>IFERROR(AVERAGEIFS(Raw!M2:M555,Raw!C2:C555,"ranking_kg3"),"")</f>
        <v/>
      </c>
      <c r="G39" s="6">
        <f>IFERROR(AVERAGEIFS(Raw!N2:N555,Raw!C2:C555,"ranking_kg3"),"")</f>
        <v/>
      </c>
    </row>
    <row r="40">
      <c r="A40" s="5" t="inlineStr">
        <is>
          <t>compare_two_airports</t>
        </is>
      </c>
      <c r="B40" s="5">
        <f>COUNTIF(Raw!C2:C555,"compare_two_airports")</f>
        <v/>
      </c>
      <c r="C40" s="6">
        <f>IFERROR(COUNTIFS(Raw!C2:C555,"compare_two_airports",Raw!I2:I555,TRUE)/COUNTIF(Raw!C2:C555,"compare_two_airports"),"")</f>
        <v/>
      </c>
      <c r="D40" s="6">
        <f>IFERROR(COUNTIFS(Raw!C2:C555,"compare_two_airports",Raw!K2:K555,"success")/COUNTIF(Raw!C2:C555,"compare_two_airports"),"")</f>
        <v/>
      </c>
      <c r="E40" s="6">
        <f>IFERROR(COUNTIFS(Raw!C2:C555,"compare_two_airports",Raw!J2:J555,TRUE)/COUNTIF(Raw!C2:C555,"compare_two_airports"),"")</f>
        <v/>
      </c>
      <c r="F40" s="6">
        <f>IFERROR(AVERAGEIFS(Raw!M2:M555,Raw!C2:C555,"compare_two_airports"),"")</f>
        <v/>
      </c>
      <c r="G40" s="6">
        <f>IFERROR(AVERAGEIFS(Raw!N2:N555,Raw!C2:C555,"compare_two_airports"),"")</f>
        <v/>
      </c>
    </row>
    <row r="41">
      <c r="A41" s="5" t="inlineStr">
        <is>
          <t>compare_two_flights</t>
        </is>
      </c>
      <c r="B41" s="5">
        <f>COUNTIF(Raw!C2:C555,"compare_two_flights")</f>
        <v/>
      </c>
      <c r="C41" s="6">
        <f>IFERROR(COUNTIFS(Raw!C2:C555,"compare_two_flights",Raw!I2:I555,TRUE)/COUNTIF(Raw!C2:C555,"compare_two_flights"),"")</f>
        <v/>
      </c>
      <c r="D41" s="6">
        <f>IFERROR(COUNTIFS(Raw!C2:C555,"compare_two_flights",Raw!K2:K555,"success")/COUNTIF(Raw!C2:C555,"compare_two_flights"),"")</f>
        <v/>
      </c>
      <c r="E41" s="6">
        <f>IFERROR(COUNTIFS(Raw!C2:C555,"compare_two_flights",Raw!J2:J555,TRUE)/COUNTIF(Raw!C2:C555,"compare_two_flights"),"")</f>
        <v/>
      </c>
      <c r="F41" s="6">
        <f>IFERROR(AVERAGEIFS(Raw!M2:M555,Raw!C2:C555,"compare_two_flights"),"")</f>
        <v/>
      </c>
      <c r="G41" s="6">
        <f>IFERROR(AVERAGEIFS(Raw!N2:N555,Raw!C2:C555,"compare_two_flights"),"")</f>
        <v/>
      </c>
    </row>
    <row r="42">
      <c r="A42" s="5" t="inlineStr">
        <is>
          <t>compare_two_departments</t>
        </is>
      </c>
      <c r="B42" s="5">
        <f>COUNTIF(Raw!C2:C555,"compare_two_departments")</f>
        <v/>
      </c>
      <c r="C42" s="6">
        <f>IFERROR(COUNTIFS(Raw!C2:C555,"compare_two_departments",Raw!I2:I555,TRUE)/COUNTIF(Raw!C2:C555,"compare_two_departments"),"")</f>
        <v/>
      </c>
      <c r="D42" s="6">
        <f>IFERROR(COUNTIFS(Raw!C2:C555,"compare_two_departments",Raw!K2:K555,"success")/COUNTIF(Raw!C2:C555,"compare_two_departments"),"")</f>
        <v/>
      </c>
      <c r="E42" s="6">
        <f>IFERROR(COUNTIFS(Raw!C2:C555,"compare_two_departments",Raw!J2:J555,TRUE)/COUNTIF(Raw!C2:C555,"compare_two_departments"),"")</f>
        <v/>
      </c>
      <c r="F42" s="6">
        <f>IFERROR(AVERAGEIFS(Raw!M2:M555,Raw!C2:C555,"compare_two_departments"),"")</f>
        <v/>
      </c>
      <c r="G42" s="6">
        <f>IFERROR(AVERAGEIFS(Raw!N2:N555,Raw!C2:C555,"compare_two_departments"),"")</f>
        <v/>
      </c>
    </row>
    <row r="43">
      <c r="A43" s="5" t="inlineStr">
        <is>
          <t>group_aggregate_kg1</t>
        </is>
      </c>
      <c r="B43" s="5">
        <f>COUNTIF(Raw!C2:C555,"group_aggregate_kg1")</f>
        <v/>
      </c>
      <c r="C43" s="6">
        <f>IFERROR(COUNTIFS(Raw!C2:C555,"group_aggregate_kg1",Raw!I2:I555,TRUE)/COUNTIF(Raw!C2:C555,"group_aggregate_kg1"),"")</f>
        <v/>
      </c>
      <c r="D43" s="6">
        <f>IFERROR(COUNTIFS(Raw!C2:C555,"group_aggregate_kg1",Raw!K2:K555,"success")/COUNTIF(Raw!C2:C555,"group_aggregate_kg1"),"")</f>
        <v/>
      </c>
      <c r="E43" s="6">
        <f>IFERROR(COUNTIFS(Raw!C2:C555,"group_aggregate_kg1",Raw!J2:J555,TRUE)/COUNTIF(Raw!C2:C555,"group_aggregate_kg1"),"")</f>
        <v/>
      </c>
      <c r="F43" s="6">
        <f>IFERROR(AVERAGEIFS(Raw!M2:M555,Raw!C2:C555,"group_aggregate_kg1"),"")</f>
        <v/>
      </c>
      <c r="G43" s="6">
        <f>IFERROR(AVERAGEIFS(Raw!N2:N555,Raw!C2:C555,"group_aggregate_kg1"),"")</f>
        <v/>
      </c>
    </row>
    <row r="44">
      <c r="A44" s="5" t="inlineStr">
        <is>
          <t>group_aggregate_kg2</t>
        </is>
      </c>
      <c r="B44" s="5">
        <f>COUNTIF(Raw!C2:C555,"group_aggregate_kg2")</f>
        <v/>
      </c>
      <c r="C44" s="6">
        <f>IFERROR(COUNTIFS(Raw!C2:C555,"group_aggregate_kg2",Raw!I2:I555,TRUE)/COUNTIF(Raw!C2:C555,"group_aggregate_kg2"),"")</f>
        <v/>
      </c>
      <c r="D44" s="6">
        <f>IFERROR(COUNTIFS(Raw!C2:C555,"group_aggregate_kg2",Raw!K2:K555,"success")/COUNTIF(Raw!C2:C555,"group_aggregate_kg2"),"")</f>
        <v/>
      </c>
      <c r="E44" s="6">
        <f>IFERROR(COUNTIFS(Raw!C2:C555,"group_aggregate_kg2",Raw!J2:J555,TRUE)/COUNTIF(Raw!C2:C555,"group_aggregate_kg2"),"")</f>
        <v/>
      </c>
      <c r="F44" s="6">
        <f>IFERROR(AVERAGEIFS(Raw!M2:M555,Raw!C2:C555,"group_aggregate_kg2"),"")</f>
        <v/>
      </c>
      <c r="G44" s="6">
        <f>IFERROR(AVERAGEIFS(Raw!N2:N555,Raw!C2:C555,"group_aggregate_kg2"),"")</f>
        <v/>
      </c>
    </row>
    <row r="45">
      <c r="A45" s="5" t="inlineStr">
        <is>
          <t>group_aggregate_kg3</t>
        </is>
      </c>
      <c r="B45" s="5">
        <f>COUNTIF(Raw!C2:C555,"group_aggregate_kg3")</f>
        <v/>
      </c>
      <c r="C45" s="6">
        <f>IFERROR(COUNTIFS(Raw!C2:C555,"group_aggregate_kg3",Raw!I2:I555,TRUE)/COUNTIF(Raw!C2:C555,"group_aggregate_kg3"),"")</f>
        <v/>
      </c>
      <c r="D45" s="6">
        <f>IFERROR(COUNTIFS(Raw!C2:C555,"group_aggregate_kg3",Raw!K2:K555,"success")/COUNTIF(Raw!C2:C555,"group_aggregate_kg3"),"")</f>
        <v/>
      </c>
      <c r="E45" s="6">
        <f>IFERROR(COUNTIFS(Raw!C2:C555,"group_aggregate_kg3",Raw!J2:J555,TRUE)/COUNTIF(Raw!C2:C555,"group_aggregate_kg3"),"")</f>
        <v/>
      </c>
      <c r="F45" s="6">
        <f>IFERROR(AVERAGEIFS(Raw!M2:M555,Raw!C2:C555,"group_aggregate_kg3"),"")</f>
        <v/>
      </c>
      <c r="G45" s="6">
        <f>IFERROR(AVERAGEIFS(Raw!N2:N555,Raw!C2:C555,"group_aggregate_kg3"),"")</f>
        <v/>
      </c>
    </row>
    <row r="46">
      <c r="A46" s="5" t="inlineStr">
        <is>
          <t>out_of_scope</t>
        </is>
      </c>
      <c r="B46" s="5">
        <f>COUNTIF(Raw!C2:C555,"out_of_scope")</f>
        <v/>
      </c>
      <c r="C46" s="6">
        <f>IFERROR(COUNTIFS(Raw!C2:C555,"out_of_scope",Raw!I2:I555,TRUE)/COUNTIF(Raw!C2:C555,"out_of_scope"),"")</f>
        <v/>
      </c>
      <c r="D46" s="6">
        <f>IFERROR(COUNTIFS(Raw!C2:C555,"out_of_scope",Raw!K2:K555,"success")/COUNTIF(Raw!C2:C555,"out_of_scope"),"")</f>
        <v/>
      </c>
      <c r="E46" s="6">
        <f>IFERROR(COUNTIFS(Raw!C2:C555,"out_of_scope",Raw!J2:J555,TRUE)/COUNTIF(Raw!C2:C555,"out_of_scope"),"")</f>
        <v/>
      </c>
      <c r="F46" s="6">
        <f>IFERROR(AVERAGEIFS(Raw!M2:M555,Raw!C2:C555,"out_of_scope"),"")</f>
        <v/>
      </c>
      <c r="G46" s="6">
        <f>IFERROR(AVERAGEIFS(Raw!N2:N555,Raw!C2:C555,"out_of_scope"),"")</f>
        <v/>
      </c>
    </row>
    <row r="47">
      <c r="A47" s="5" t="inlineStr">
        <is>
          <t>ask_query</t>
        </is>
      </c>
      <c r="B47" s="5">
        <f>COUNTIF(Raw!C2:C555,"ask_query")</f>
        <v/>
      </c>
      <c r="C47" s="6">
        <f>IFERROR(COUNTIFS(Raw!C2:C555,"ask_query",Raw!I2:I555,TRUE)/COUNTIF(Raw!C2:C555,"ask_query"),"")</f>
        <v/>
      </c>
      <c r="D47" s="6">
        <f>IFERROR(COUNTIFS(Raw!C2:C555,"ask_query",Raw!K2:K555,"success")/COUNTIF(Raw!C2:C555,"ask_query"),"")</f>
        <v/>
      </c>
      <c r="E47" s="6">
        <f>IFERROR(COUNTIFS(Raw!C2:C555,"ask_query",Raw!J2:J555,TRUE)/COUNTIF(Raw!C2:C555,"ask_query"),"")</f>
        <v/>
      </c>
      <c r="F47" s="6">
        <f>IFERROR(AVERAGEIFS(Raw!M2:M555,Raw!C2:C555,"ask_query"),"")</f>
        <v/>
      </c>
      <c r="G47" s="6">
        <f>IFERROR(AVERAGEIFS(Raw!N2:N555,Raw!C2:C555,"ask_query"),"")</f>
        <v/>
      </c>
    </row>
    <row r="48">
      <c r="A48" s="5" t="inlineStr">
        <is>
          <t>typo_fuzzy</t>
        </is>
      </c>
      <c r="B48" s="5">
        <f>COUNTIF(Raw!C2:C555,"typo_fuzzy")</f>
        <v/>
      </c>
      <c r="C48" s="6">
        <f>IFERROR(COUNTIFS(Raw!C2:C555,"typo_fuzzy",Raw!I2:I555,TRUE)/COUNTIF(Raw!C2:C555,"typo_fuzzy"),"")</f>
        <v/>
      </c>
      <c r="D48" s="6">
        <f>IFERROR(COUNTIFS(Raw!C2:C555,"typo_fuzzy",Raw!K2:K555,"success")/COUNTIF(Raw!C2:C555,"typo_fuzzy"),"")</f>
        <v/>
      </c>
      <c r="E48" s="6">
        <f>IFERROR(COUNTIFS(Raw!C2:C555,"typo_fuzzy",Raw!J2:J555,TRUE)/COUNTIF(Raw!C2:C555,"typo_fuzzy"),"")</f>
        <v/>
      </c>
      <c r="F48" s="6">
        <f>IFERROR(AVERAGEIFS(Raw!M2:M555,Raw!C2:C555,"typo_fuzzy"),"")</f>
        <v/>
      </c>
      <c r="G48" s="6">
        <f>IFERROR(AVERAGEIFS(Raw!N2:N555,Raw!C2:C555,"typo_fuzzy"),"")</f>
        <v/>
      </c>
    </row>
    <row r="49">
      <c r="A49" s="5" t="inlineStr">
        <is>
          <t>multilingual_edge</t>
        </is>
      </c>
      <c r="B49" s="5">
        <f>COUNTIF(Raw!C2:C555,"multilingual_edge")</f>
        <v/>
      </c>
      <c r="C49" s="6">
        <f>IFERROR(COUNTIFS(Raw!C2:C555,"multilingual_edge",Raw!I2:I555,TRUE)/COUNTIF(Raw!C2:C555,"multilingual_edge"),"")</f>
        <v/>
      </c>
      <c r="D49" s="6">
        <f>IFERROR(COUNTIFS(Raw!C2:C555,"multilingual_edge",Raw!K2:K555,"success")/COUNTIF(Raw!C2:C555,"multilingual_edge"),"")</f>
        <v/>
      </c>
      <c r="E49" s="6">
        <f>IFERROR(COUNTIFS(Raw!C2:C555,"multilingual_edge",Raw!J2:J555,TRUE)/COUNTIF(Raw!C2:C555,"multilingual_edge"),"")</f>
        <v/>
      </c>
      <c r="F49" s="6">
        <f>IFERROR(AVERAGEIFS(Raw!M2:M555,Raw!C2:C555,"multilingual_edge"),"")</f>
        <v/>
      </c>
      <c r="G49" s="6">
        <f>IFERROR(AVERAGEIFS(Raw!N2:N555,Raw!C2:C555,"multilingual_edge"),"")</f>
        <v/>
      </c>
    </row>
    <row r="50">
      <c r="A50" s="5" t="inlineStr">
        <is>
          <t>property_ambiguity</t>
        </is>
      </c>
      <c r="B50" s="5">
        <f>COUNTIF(Raw!C2:C555,"property_ambiguity")</f>
        <v/>
      </c>
      <c r="C50" s="6">
        <f>IFERROR(COUNTIFS(Raw!C2:C555,"property_ambiguity",Raw!I2:I555,TRUE)/COUNTIF(Raw!C2:C555,"property_ambiguity"),"")</f>
        <v/>
      </c>
      <c r="D50" s="6">
        <f>IFERROR(COUNTIFS(Raw!C2:C555,"property_ambiguity",Raw!K2:K555,"success")/COUNTIF(Raw!C2:C555,"property_ambiguity"),"")</f>
        <v/>
      </c>
      <c r="E50" s="6">
        <f>IFERROR(COUNTIFS(Raw!C2:C555,"property_ambiguity",Raw!J2:J555,TRUE)/COUNTIF(Raw!C2:C555,"property_ambiguity"),"")</f>
        <v/>
      </c>
      <c r="F50" s="6">
        <f>IFERROR(AVERAGEIFS(Raw!M2:M555,Raw!C2:C555,"property_ambiguity"),"")</f>
        <v/>
      </c>
      <c r="G50" s="6">
        <f>IFERROR(AVERAGEIFS(Raw!N2:N555,Raw!C2:C555,"property_ambiguity"),"")</f>
        <v/>
      </c>
    </row>
    <row r="51">
      <c r="A51" s="5" t="inlineStr">
        <is>
          <t>ghost_property</t>
        </is>
      </c>
      <c r="B51" s="5">
        <f>COUNTIF(Raw!C2:C555,"ghost_property")</f>
        <v/>
      </c>
      <c r="C51" s="6">
        <f>IFERROR(COUNTIFS(Raw!C2:C555,"ghost_property",Raw!I2:I555,TRUE)/COUNTIF(Raw!C2:C555,"ghost_property"),"")</f>
        <v/>
      </c>
      <c r="D51" s="6">
        <f>IFERROR(COUNTIFS(Raw!C2:C555,"ghost_property",Raw!K2:K555,"success")/COUNTIF(Raw!C2:C555,"ghost_property"),"")</f>
        <v/>
      </c>
      <c r="E51" s="6">
        <f>IFERROR(COUNTIFS(Raw!C2:C555,"ghost_property",Raw!J2:J555,TRUE)/COUNTIF(Raw!C2:C555,"ghost_property"),"")</f>
        <v/>
      </c>
      <c r="F51" s="6">
        <f>IFERROR(AVERAGEIFS(Raw!M2:M555,Raw!C2:C555,"ghost_property"),"")</f>
        <v/>
      </c>
      <c r="G51" s="6">
        <f>IFERROR(AVERAGEIFS(Raw!N2:N555,Raw!C2:C555,"ghost_property"),"")</f>
        <v/>
      </c>
    </row>
    <row r="52">
      <c r="A52" s="5" t="inlineStr">
        <is>
          <t>multi_value_ambiguity</t>
        </is>
      </c>
      <c r="B52" s="5">
        <f>COUNTIF(Raw!C2:C555,"multi_value_ambiguity")</f>
        <v/>
      </c>
      <c r="C52" s="6">
        <f>IFERROR(COUNTIFS(Raw!C2:C555,"multi_value_ambiguity",Raw!I2:I555,TRUE)/COUNTIF(Raw!C2:C555,"multi_value_ambiguity"),"")</f>
        <v/>
      </c>
      <c r="D52" s="6">
        <f>IFERROR(COUNTIFS(Raw!C2:C555,"multi_value_ambiguity",Raw!K2:K555,"success")/COUNTIF(Raw!C2:C555,"multi_value_ambiguity"),"")</f>
        <v/>
      </c>
      <c r="E52" s="6">
        <f>IFERROR(COUNTIFS(Raw!C2:C555,"multi_value_ambiguity",Raw!J2:J555,TRUE)/COUNTIF(Raw!C2:C555,"multi_value_ambiguity"),"")</f>
        <v/>
      </c>
      <c r="F52" s="6">
        <f>IFERROR(AVERAGEIFS(Raw!M2:M555,Raw!C2:C555,"multi_value_ambiguity"),"")</f>
        <v/>
      </c>
      <c r="G52" s="6">
        <f>IFERROR(AVERAGEIFS(Raw!N2:N555,Raw!C2:C555,"multi_value_ambiguity"),"")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26.58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12.35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12.88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14.42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13.17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14.22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15.86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13.96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15.2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12.82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12.11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12.59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14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12.49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13.09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14.14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12.1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13.24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14.32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12.61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13.37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15.24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13.66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14.76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15.65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14.71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15.75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17.66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16.58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17.24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17.9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16.77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18.5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18.28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17.2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18.78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17.88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16.31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18.19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19.62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18.68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19.64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19.43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18.64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19.69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13.63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11.71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12.25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15.88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14.61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15.33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15.53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14.43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15.48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13.25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11.67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12.71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13.93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13.2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13.96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14.79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13.74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14.62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13.33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11.91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12.58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14.19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13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14.08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14.92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13.38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14.54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13.43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11.64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12.04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14.22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12.49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13.9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14.08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15.57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13.89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12.99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11.56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12.47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15.43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13.21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14.14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14.45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12.72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14.12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14.1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11.89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12.89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14.96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13.19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14.66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14.63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13.33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14.01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17.34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15.59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17.05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18.4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17.05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18.48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out_of_scope</t>
        </is>
      </c>
      <c r="I107" s="5" t="b">
        <v>0</v>
      </c>
      <c r="J107" s="5" t="b">
        <v>0</v>
      </c>
      <c r="K107" s="5" t="inlineStr">
        <is>
          <t>routing_miss</t>
        </is>
      </c>
      <c r="L107" s="5" t="n"/>
      <c r="M107" s="5" t="n">
        <v>0</v>
      </c>
      <c r="N107" s="5" t="n">
        <v>0</v>
      </c>
      <c r="O107" s="5" t="n">
        <v>2.49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out_of_scope</t>
        </is>
      </c>
      <c r="I108" s="5" t="b">
        <v>0</v>
      </c>
      <c r="J108" s="5" t="b">
        <v>0</v>
      </c>
      <c r="K108" s="5" t="inlineStr">
        <is>
          <t>routing_miss</t>
        </is>
      </c>
      <c r="L108" s="5" t="n"/>
      <c r="M108" s="5" t="n">
        <v>0</v>
      </c>
      <c r="N108" s="5" t="n">
        <v>0</v>
      </c>
      <c r="O108" s="5" t="n">
        <v>1.17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out_of_scope</t>
        </is>
      </c>
      <c r="I109" s="5" t="b">
        <v>0</v>
      </c>
      <c r="J109" s="5" t="b">
        <v>0</v>
      </c>
      <c r="K109" s="5" t="inlineStr">
        <is>
          <t>routing_miss</t>
        </is>
      </c>
      <c r="L109" s="5" t="n"/>
      <c r="M109" s="5" t="n">
        <v>0</v>
      </c>
      <c r="N109" s="5" t="n">
        <v>0</v>
      </c>
      <c r="O109" s="5" t="n">
        <v>0.91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13.26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11.23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12.1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15.37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13.91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15.65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15.54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13.1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14.27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19.02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16.91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17.89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20.1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18.23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19.97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18.33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16.68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18.27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17.97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15.68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16.95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18.39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17.19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18.46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19.4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17.06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18.62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13.54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10.96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11.76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15.02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13.42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14.52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14.29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11.8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13.15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16.65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15.14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16.21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17.19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16.16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17.96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18.67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17.32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18.23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14.06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11.45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12.3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15.79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14.79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15.63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14.25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12.19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13.29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10.02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9.66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9.859999999999999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11.59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10.89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11.1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12.06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11.46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11.61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10.98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9.449999999999999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9.76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11.57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11.05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11.21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11.86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11.29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11.56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12.24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10.1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10.42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23.17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11.81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12.05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12.57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12.53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12.31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11.13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9.76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12.51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11.27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11.35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12.4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11.72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11.85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15.85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16.74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16.8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12.07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12.94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13.22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13.91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18.46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15.04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17.54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18.25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14.3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14.36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19.46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16.95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12.61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14.07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14.77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15.47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20.22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13.77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16.6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17.68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15.48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14.74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18.3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13.62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12.71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13.09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13.41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14.03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15.54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13.91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13.37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14.66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13.86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23.5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23.14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22.96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25.74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26.03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25.72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17.62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22.86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23.3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30.6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0.0645</v>
      </c>
      <c r="O246" s="5" t="n">
        <v>6.17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23.62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32.66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33.53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36.95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23.36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23.21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23.14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7.53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7.39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7.8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9.84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7.08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7.08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6.92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6.94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7.11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6.45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11.28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8.32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6.37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11.1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9.52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6.26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7.78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7.7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6.2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6.28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6.01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6.43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9.289999999999999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9.35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6.97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6.29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6.07</v>
      </c>
    </row>
    <row r="281">
      <c r="A281" s="5" t="inlineStr">
        <is>
          <t>filter_numeric_kg2_001</t>
        </is>
      </c>
      <c r="B281" s="5" t="n">
        <v>2</v>
      </c>
      <c r="C281" s="5" t="inlineStr">
        <is>
          <t>filter_numeric_kg2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9.210000000000001</v>
      </c>
    </row>
    <row r="282">
      <c r="A282" s="5" t="inlineStr">
        <is>
          <t>filter_numeric_kg2_001</t>
        </is>
      </c>
      <c r="B282" s="5" t="n">
        <v>2</v>
      </c>
      <c r="C282" s="5" t="inlineStr">
        <is>
          <t>filter_numeric_kg2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0</v>
      </c>
      <c r="N282" s="5" t="n">
        <v>0.2941</v>
      </c>
      <c r="O282" s="5" t="n">
        <v>7.79</v>
      </c>
    </row>
    <row r="283">
      <c r="A283" s="5" t="inlineStr">
        <is>
          <t>filter_numeric_kg2_001</t>
        </is>
      </c>
      <c r="B283" s="5" t="n">
        <v>2</v>
      </c>
      <c r="C283" s="5" t="inlineStr">
        <is>
          <t>filter_numeric_kg2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9.08</v>
      </c>
    </row>
    <row r="284">
      <c r="A284" s="5" t="inlineStr">
        <is>
          <t>filter_numeric_kg2_002</t>
        </is>
      </c>
      <c r="B284" s="5" t="n">
        <v>2</v>
      </c>
      <c r="C284" s="5" t="inlineStr">
        <is>
          <t>filter_numeric_kg2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open_kg</t>
        </is>
      </c>
      <c r="I284" s="5" t="b">
        <v>0</v>
      </c>
      <c r="J284" s="5" t="b">
        <v>1</v>
      </c>
      <c r="K284" s="5" t="inlineStr">
        <is>
          <t>success</t>
        </is>
      </c>
      <c r="L284" s="5" t="n"/>
      <c r="M284" s="5" t="n">
        <v>0</v>
      </c>
      <c r="N284" s="5" t="n">
        <v>0.3077</v>
      </c>
      <c r="O284" s="5" t="n">
        <v>26.9</v>
      </c>
    </row>
    <row r="285">
      <c r="A285" s="5" t="inlineStr">
        <is>
          <t>filter_numeric_kg2_002</t>
        </is>
      </c>
      <c r="B285" s="5" t="n">
        <v>2</v>
      </c>
      <c r="C285" s="5" t="inlineStr">
        <is>
          <t>filter_numeric_kg2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0</v>
      </c>
      <c r="N285" s="5" t="n">
        <v>0.8431</v>
      </c>
      <c r="O285" s="5" t="n">
        <v>6.46</v>
      </c>
    </row>
    <row r="286">
      <c r="A286" s="5" t="inlineStr">
        <is>
          <t>filter_numeric_kg2_002</t>
        </is>
      </c>
      <c r="B286" s="5" t="n">
        <v>2</v>
      </c>
      <c r="C286" s="5" t="inlineStr">
        <is>
          <t>filter_numeric_kg2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0</v>
      </c>
      <c r="N286" s="5" t="n">
        <v>0.8431</v>
      </c>
      <c r="O286" s="5" t="n">
        <v>6.08</v>
      </c>
    </row>
    <row r="287">
      <c r="A287" s="5" t="inlineStr">
        <is>
          <t>filter_numeric_kg2_003</t>
        </is>
      </c>
      <c r="B287" s="5" t="n">
        <v>2</v>
      </c>
      <c r="C287" s="5" t="inlineStr">
        <is>
          <t>filter_numeric_kg2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8.99</v>
      </c>
    </row>
    <row r="288">
      <c r="A288" s="5" t="inlineStr">
        <is>
          <t>filter_numeric_kg2_003</t>
        </is>
      </c>
      <c r="B288" s="5" t="n">
        <v>2</v>
      </c>
      <c r="C288" s="5" t="inlineStr">
        <is>
          <t>filter_numeric_kg2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0</v>
      </c>
      <c r="N288" s="5" t="n">
        <v>0.1587</v>
      </c>
      <c r="O288" s="5" t="n">
        <v>7.03</v>
      </c>
    </row>
    <row r="289">
      <c r="A289" s="5" t="inlineStr">
        <is>
          <t>filter_numeric_kg2_003</t>
        </is>
      </c>
      <c r="B289" s="5" t="n">
        <v>2</v>
      </c>
      <c r="C289" s="5" t="inlineStr">
        <is>
          <t>filter_numeric_kg2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6.54</v>
      </c>
    </row>
    <row r="290">
      <c r="A290" s="5" t="inlineStr">
        <is>
          <t>filter_string_kg2_001</t>
        </is>
      </c>
      <c r="B290" s="5" t="n">
        <v>2</v>
      </c>
      <c r="C290" s="5" t="inlineStr">
        <is>
          <t>filter_string_kg2</t>
        </is>
      </c>
      <c r="D290" s="5" t="inlineStr">
        <is>
          <t>airports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8.41</v>
      </c>
    </row>
    <row r="291">
      <c r="A291" s="5" t="inlineStr">
        <is>
          <t>filter_string_kg2_001</t>
        </is>
      </c>
      <c r="B291" s="5" t="n">
        <v>2</v>
      </c>
      <c r="C291" s="5" t="inlineStr">
        <is>
          <t>filter_string_kg2</t>
        </is>
      </c>
      <c r="D291" s="5" t="inlineStr">
        <is>
          <t>airports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8.390000000000001</v>
      </c>
    </row>
    <row r="292">
      <c r="A292" s="5" t="inlineStr">
        <is>
          <t>filter_string_kg2_001</t>
        </is>
      </c>
      <c r="B292" s="5" t="n">
        <v>2</v>
      </c>
      <c r="C292" s="5" t="inlineStr">
        <is>
          <t>filter_string_kg2</t>
        </is>
      </c>
      <c r="D292" s="5" t="inlineStr">
        <is>
          <t>airports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8.82</v>
      </c>
    </row>
    <row r="293">
      <c r="A293" s="5" t="inlineStr">
        <is>
          <t>filter_string_kg2_002</t>
        </is>
      </c>
      <c r="B293" s="5" t="n">
        <v>2</v>
      </c>
      <c r="C293" s="5" t="inlineStr">
        <is>
          <t>filter_string_kg2</t>
        </is>
      </c>
      <c r="D293" s="5" t="inlineStr">
        <is>
          <t>airports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11.58</v>
      </c>
    </row>
    <row r="294">
      <c r="A294" s="5" t="inlineStr">
        <is>
          <t>filter_string_kg2_002</t>
        </is>
      </c>
      <c r="B294" s="5" t="n">
        <v>2</v>
      </c>
      <c r="C294" s="5" t="inlineStr">
        <is>
          <t>filter_string_kg2</t>
        </is>
      </c>
      <c r="D294" s="5" t="inlineStr">
        <is>
          <t>airports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8.82</v>
      </c>
    </row>
    <row r="295">
      <c r="A295" s="5" t="inlineStr">
        <is>
          <t>filter_string_kg2_002</t>
        </is>
      </c>
      <c r="B295" s="5" t="n">
        <v>2</v>
      </c>
      <c r="C295" s="5" t="inlineStr">
        <is>
          <t>filter_string_kg2</t>
        </is>
      </c>
      <c r="D295" s="5" t="inlineStr">
        <is>
          <t>airports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7.89</v>
      </c>
    </row>
    <row r="296">
      <c r="A296" s="5" t="inlineStr">
        <is>
          <t>filter_string_kg2_003</t>
        </is>
      </c>
      <c r="B296" s="5" t="n">
        <v>2</v>
      </c>
      <c r="C296" s="5" t="inlineStr">
        <is>
          <t>filter_string_kg2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8.49</v>
      </c>
    </row>
    <row r="297">
      <c r="A297" s="5" t="inlineStr">
        <is>
          <t>filter_string_kg2_003</t>
        </is>
      </c>
      <c r="B297" s="5" t="n">
        <v>2</v>
      </c>
      <c r="C297" s="5" t="inlineStr">
        <is>
          <t>filter_string_kg2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8.52</v>
      </c>
    </row>
    <row r="298">
      <c r="A298" s="5" t="inlineStr">
        <is>
          <t>filter_string_kg2_003</t>
        </is>
      </c>
      <c r="B298" s="5" t="n">
        <v>2</v>
      </c>
      <c r="C298" s="5" t="inlineStr">
        <is>
          <t>filter_string_kg2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9.02</v>
      </c>
    </row>
    <row r="299">
      <c r="A299" s="5" t="inlineStr">
        <is>
          <t>filter_string_kg3_001</t>
        </is>
      </c>
      <c r="B299" s="5" t="n">
        <v>2</v>
      </c>
      <c r="C299" s="5" t="inlineStr">
        <is>
          <t>filter_string_kg3</t>
        </is>
      </c>
      <c r="D299" s="5" t="inlineStr">
        <is>
          <t>university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6.61</v>
      </c>
    </row>
    <row r="300">
      <c r="A300" s="5" t="inlineStr">
        <is>
          <t>filter_string_kg3_001</t>
        </is>
      </c>
      <c r="B300" s="5" t="n">
        <v>2</v>
      </c>
      <c r="C300" s="5" t="inlineStr">
        <is>
          <t>filter_string_kg3</t>
        </is>
      </c>
      <c r="D300" s="5" t="inlineStr">
        <is>
          <t>university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7.45</v>
      </c>
    </row>
    <row r="301">
      <c r="A301" s="5" t="inlineStr">
        <is>
          <t>filter_string_kg3_001</t>
        </is>
      </c>
      <c r="B301" s="5" t="n">
        <v>2</v>
      </c>
      <c r="C301" s="5" t="inlineStr">
        <is>
          <t>filter_string_kg3</t>
        </is>
      </c>
      <c r="D301" s="5" t="inlineStr">
        <is>
          <t>university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6.84</v>
      </c>
    </row>
    <row r="302">
      <c r="A302" s="5" t="inlineStr">
        <is>
          <t>filter_string_kg3_002</t>
        </is>
      </c>
      <c r="B302" s="5" t="n">
        <v>2</v>
      </c>
      <c r="C302" s="5" t="inlineStr">
        <is>
          <t>filter_string_kg3</t>
        </is>
      </c>
      <c r="D302" s="5" t="inlineStr">
        <is>
          <t>university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>
        <v>1</v>
      </c>
      <c r="N302" s="5" t="n">
        <v>1</v>
      </c>
      <c r="O302" s="5" t="n">
        <v>6.44</v>
      </c>
    </row>
    <row r="303">
      <c r="A303" s="5" t="inlineStr">
        <is>
          <t>filter_string_kg3_002</t>
        </is>
      </c>
      <c r="B303" s="5" t="n">
        <v>2</v>
      </c>
      <c r="C303" s="5" t="inlineStr">
        <is>
          <t>filter_string_kg3</t>
        </is>
      </c>
      <c r="D303" s="5" t="inlineStr">
        <is>
          <t>university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0</v>
      </c>
      <c r="K303" s="5" t="inlineStr">
        <is>
          <t>execution_failure</t>
        </is>
      </c>
      <c r="L303" s="5" t="inlineStr">
        <is>
          <t>params={'operator': '&lt;', 'threshold': 5}</t>
        </is>
      </c>
      <c r="M303" s="5" t="n">
        <v>0</v>
      </c>
      <c r="N303" s="5" t="n">
        <v>0</v>
      </c>
      <c r="O303" s="5" t="n">
        <v>2.43</v>
      </c>
    </row>
    <row r="304">
      <c r="A304" s="5" t="inlineStr">
        <is>
          <t>filter_string_kg3_002</t>
        </is>
      </c>
      <c r="B304" s="5" t="n">
        <v>2</v>
      </c>
      <c r="C304" s="5" t="inlineStr">
        <is>
          <t>filter_string_kg3</t>
        </is>
      </c>
      <c r="D304" s="5" t="inlineStr">
        <is>
          <t>university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8.27</v>
      </c>
    </row>
    <row r="305">
      <c r="A305" s="5" t="inlineStr">
        <is>
          <t>ranking_kg2_001</t>
        </is>
      </c>
      <c r="B305" s="5" t="n">
        <v>2</v>
      </c>
      <c r="C305" s="5" t="inlineStr">
        <is>
          <t>ranking_kg2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8.109999999999999</v>
      </c>
    </row>
    <row r="306">
      <c r="A306" s="5" t="inlineStr">
        <is>
          <t>ranking_kg2_001</t>
        </is>
      </c>
      <c r="B306" s="5" t="n">
        <v>2</v>
      </c>
      <c r="C306" s="5" t="inlineStr">
        <is>
          <t>ranking_kg2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8.279999999999999</v>
      </c>
    </row>
    <row r="307">
      <c r="A307" s="5" t="inlineStr">
        <is>
          <t>ranking_kg2_001</t>
        </is>
      </c>
      <c r="B307" s="5" t="n">
        <v>2</v>
      </c>
      <c r="C307" s="5" t="inlineStr">
        <is>
          <t>ranking_kg2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8.369999999999999</v>
      </c>
    </row>
    <row r="308">
      <c r="A308" s="5" t="inlineStr">
        <is>
          <t>ranking_kg2_002</t>
        </is>
      </c>
      <c r="B308" s="5" t="n">
        <v>2</v>
      </c>
      <c r="C308" s="5" t="inlineStr">
        <is>
          <t>ranking_kg2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6.75</v>
      </c>
    </row>
    <row r="309">
      <c r="A309" s="5" t="inlineStr">
        <is>
          <t>ranking_kg2_002</t>
        </is>
      </c>
      <c r="B309" s="5" t="n">
        <v>2</v>
      </c>
      <c r="C309" s="5" t="inlineStr">
        <is>
          <t>ranking_kg2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6.03</v>
      </c>
    </row>
    <row r="310">
      <c r="A310" s="5" t="inlineStr">
        <is>
          <t>ranking_kg2_002</t>
        </is>
      </c>
      <c r="B310" s="5" t="n">
        <v>2</v>
      </c>
      <c r="C310" s="5" t="inlineStr">
        <is>
          <t>ranking_kg2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6.03</v>
      </c>
    </row>
    <row r="311">
      <c r="A311" s="5" t="inlineStr">
        <is>
          <t>ranking_kg2_003</t>
        </is>
      </c>
      <c r="B311" s="5" t="n">
        <v>2</v>
      </c>
      <c r="C311" s="5" t="inlineStr">
        <is>
          <t>ranking_kg2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open_kg</t>
        </is>
      </c>
      <c r="I311" s="5" t="b">
        <v>0</v>
      </c>
      <c r="J311" s="5" t="b">
        <v>0</v>
      </c>
      <c r="K311" s="5" t="inlineStr">
        <is>
          <t>generation_failure</t>
        </is>
      </c>
      <c r="L311" s="5" t="n"/>
      <c r="M311" s="5" t="n">
        <v>0</v>
      </c>
      <c r="N311" s="5" t="n">
        <v>0</v>
      </c>
      <c r="O311" s="5" t="n">
        <v>26.6</v>
      </c>
    </row>
    <row r="312">
      <c r="A312" s="5" t="inlineStr">
        <is>
          <t>ranking_kg2_003</t>
        </is>
      </c>
      <c r="B312" s="5" t="n">
        <v>2</v>
      </c>
      <c r="C312" s="5" t="inlineStr">
        <is>
          <t>ranking_kg2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8.09</v>
      </c>
    </row>
    <row r="313">
      <c r="A313" s="5" t="inlineStr">
        <is>
          <t>ranking_kg2_003</t>
        </is>
      </c>
      <c r="B313" s="5" t="n">
        <v>2</v>
      </c>
      <c r="C313" s="5" t="inlineStr">
        <is>
          <t>ranking_kg2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8.26</v>
      </c>
    </row>
    <row r="314">
      <c r="A314" s="5" t="inlineStr">
        <is>
          <t>compare_two_airports_001</t>
        </is>
      </c>
      <c r="B314" s="5" t="n">
        <v>2</v>
      </c>
      <c r="C314" s="5" t="inlineStr">
        <is>
          <t>compare_two_airports</t>
        </is>
      </c>
      <c r="D314" s="5" t="inlineStr">
        <is>
          <t>airports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template</t>
        </is>
      </c>
      <c r="H314" s="5" t="inlineStr">
        <is>
          <t>template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>
        <v>1</v>
      </c>
      <c r="N314" s="5" t="n">
        <v>1</v>
      </c>
      <c r="O314" s="5" t="n">
        <v>2.38</v>
      </c>
    </row>
    <row r="315">
      <c r="A315" s="5" t="inlineStr">
        <is>
          <t>compare_two_airports_001</t>
        </is>
      </c>
      <c r="B315" s="5" t="n">
        <v>2</v>
      </c>
      <c r="C315" s="5" t="inlineStr">
        <is>
          <t>compare_two_airports</t>
        </is>
      </c>
      <c r="D315" s="5" t="inlineStr">
        <is>
          <t>airports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template</t>
        </is>
      </c>
      <c r="H315" s="5" t="inlineStr">
        <is>
          <t>template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>
        <v>1</v>
      </c>
      <c r="N315" s="5" t="n">
        <v>1</v>
      </c>
      <c r="O315" s="5" t="n">
        <v>2.24</v>
      </c>
    </row>
    <row r="316">
      <c r="A316" s="5" t="inlineStr">
        <is>
          <t>compare_two_airports_001</t>
        </is>
      </c>
      <c r="B316" s="5" t="n">
        <v>2</v>
      </c>
      <c r="C316" s="5" t="inlineStr">
        <is>
          <t>compare_two_airports</t>
        </is>
      </c>
      <c r="D316" s="5" t="inlineStr">
        <is>
          <t>airports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template</t>
        </is>
      </c>
      <c r="H316" s="5" t="inlineStr">
        <is>
          <t>template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>
        <v>1</v>
      </c>
      <c r="N316" s="5" t="n">
        <v>1</v>
      </c>
      <c r="O316" s="5" t="n">
        <v>1.92</v>
      </c>
    </row>
    <row r="317">
      <c r="A317" s="5" t="inlineStr">
        <is>
          <t>compare_two_airports_002</t>
        </is>
      </c>
      <c r="B317" s="5" t="n">
        <v>2</v>
      </c>
      <c r="C317" s="5" t="inlineStr">
        <is>
          <t>compare_two_airports</t>
        </is>
      </c>
      <c r="D317" s="5" t="inlineStr">
        <is>
          <t>airports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template</t>
        </is>
      </c>
      <c r="H317" s="5" t="inlineStr">
        <is>
          <t>template</t>
        </is>
      </c>
      <c r="I317" s="5" t="b">
        <v>1</v>
      </c>
      <c r="J317" s="5" t="b">
        <v>1</v>
      </c>
      <c r="K317" s="5" t="inlineStr">
        <is>
          <t>success</t>
        </is>
      </c>
      <c r="L317" s="5" t="n"/>
      <c r="M317" s="5" t="n">
        <v>1</v>
      </c>
      <c r="N317" s="5" t="n">
        <v>1</v>
      </c>
      <c r="O317" s="5" t="n">
        <v>2.24</v>
      </c>
    </row>
    <row r="318">
      <c r="A318" s="5" t="inlineStr">
        <is>
          <t>compare_two_airports_002</t>
        </is>
      </c>
      <c r="B318" s="5" t="n">
        <v>2</v>
      </c>
      <c r="C318" s="5" t="inlineStr">
        <is>
          <t>compare_two_airports</t>
        </is>
      </c>
      <c r="D318" s="5" t="inlineStr">
        <is>
          <t>airports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template</t>
        </is>
      </c>
      <c r="H318" s="5" t="inlineStr">
        <is>
          <t>template</t>
        </is>
      </c>
      <c r="I318" s="5" t="b">
        <v>1</v>
      </c>
      <c r="J318" s="5" t="b">
        <v>1</v>
      </c>
      <c r="K318" s="5" t="inlineStr">
        <is>
          <t>success</t>
        </is>
      </c>
      <c r="L318" s="5" t="n"/>
      <c r="M318" s="5" t="n">
        <v>1</v>
      </c>
      <c r="N318" s="5" t="n">
        <v>1</v>
      </c>
      <c r="O318" s="5" t="n">
        <v>2.08</v>
      </c>
    </row>
    <row r="319">
      <c r="A319" s="5" t="inlineStr">
        <is>
          <t>compare_two_airports_002</t>
        </is>
      </c>
      <c r="B319" s="5" t="n">
        <v>2</v>
      </c>
      <c r="C319" s="5" t="inlineStr">
        <is>
          <t>compare_two_airports</t>
        </is>
      </c>
      <c r="D319" s="5" t="inlineStr">
        <is>
          <t>airports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template</t>
        </is>
      </c>
      <c r="H319" s="5" t="inlineStr">
        <is>
          <t>template</t>
        </is>
      </c>
      <c r="I319" s="5" t="b">
        <v>1</v>
      </c>
      <c r="J319" s="5" t="b">
        <v>1</v>
      </c>
      <c r="K319" s="5" t="inlineStr">
        <is>
          <t>success</t>
        </is>
      </c>
      <c r="L319" s="5" t="n"/>
      <c r="M319" s="5" t="n">
        <v>1</v>
      </c>
      <c r="N319" s="5" t="n">
        <v>1</v>
      </c>
      <c r="O319" s="5" t="n">
        <v>2.71</v>
      </c>
    </row>
    <row r="320">
      <c r="A320" s="5" t="inlineStr">
        <is>
          <t>compare_two_airports_003</t>
        </is>
      </c>
      <c r="B320" s="5" t="n">
        <v>2</v>
      </c>
      <c r="C320" s="5" t="inlineStr">
        <is>
          <t>compare_two_airports</t>
        </is>
      </c>
      <c r="D320" s="5" t="inlineStr">
        <is>
          <t>airports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>
        <v>1</v>
      </c>
      <c r="N320" s="5" t="n">
        <v>1</v>
      </c>
      <c r="O320" s="5" t="n">
        <v>2.8</v>
      </c>
    </row>
    <row r="321">
      <c r="A321" s="5" t="inlineStr">
        <is>
          <t>compare_two_airports_003</t>
        </is>
      </c>
      <c r="B321" s="5" t="n">
        <v>2</v>
      </c>
      <c r="C321" s="5" t="inlineStr">
        <is>
          <t>compare_two_airports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>
        <v>1</v>
      </c>
      <c r="N321" s="5" t="n">
        <v>1</v>
      </c>
      <c r="O321" s="5" t="n">
        <v>2.69</v>
      </c>
    </row>
    <row r="322">
      <c r="A322" s="5" t="inlineStr">
        <is>
          <t>compare_two_airports_003</t>
        </is>
      </c>
      <c r="B322" s="5" t="n">
        <v>2</v>
      </c>
      <c r="C322" s="5" t="inlineStr">
        <is>
          <t>compare_two_airports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>
        <v>1</v>
      </c>
      <c r="N322" s="5" t="n">
        <v>1</v>
      </c>
      <c r="O322" s="5" t="n">
        <v>2.7</v>
      </c>
    </row>
    <row r="323">
      <c r="A323" s="5" t="inlineStr">
        <is>
          <t>out_of_scope_001</t>
        </is>
      </c>
      <c r="B323" s="5" t="n">
        <v>3</v>
      </c>
      <c r="C323" s="5" t="inlineStr">
        <is>
          <t>out_of_scope</t>
        </is>
      </c>
      <c r="D323" s="5" t="n">
        <v/>
      </c>
      <c r="E323" s="5" t="inlineStr">
        <is>
          <t>en</t>
        </is>
      </c>
      <c r="F323" s="5" t="inlineStr">
        <is>
          <t>zero-shot</t>
        </is>
      </c>
      <c r="G323" s="5" t="inlineStr">
        <is>
          <t>out_of_scope</t>
        </is>
      </c>
      <c r="H323" s="5" t="inlineStr">
        <is>
          <t>out_of_scope</t>
        </is>
      </c>
      <c r="I323" s="5" t="b">
        <v>1</v>
      </c>
      <c r="J323" s="5" t="b">
        <v>0</v>
      </c>
      <c r="K323" s="5" t="inlineStr">
        <is>
          <t>success</t>
        </is>
      </c>
      <c r="L323" s="5" t="n"/>
      <c r="M323" s="5" t="n"/>
      <c r="N323" s="5" t="n"/>
      <c r="O323" s="5" t="n">
        <v>1.91</v>
      </c>
    </row>
    <row r="324">
      <c r="A324" s="5" t="inlineStr">
        <is>
          <t>out_of_scope_001</t>
        </is>
      </c>
      <c r="B324" s="5" t="n">
        <v>3</v>
      </c>
      <c r="C324" s="5" t="inlineStr">
        <is>
          <t>out_of_scope</t>
        </is>
      </c>
      <c r="D324" s="5" t="n">
        <v/>
      </c>
      <c r="E324" s="5" t="inlineStr">
        <is>
          <t>fr</t>
        </is>
      </c>
      <c r="F324" s="5" t="inlineStr">
        <is>
          <t>zero-shot</t>
        </is>
      </c>
      <c r="G324" s="5" t="inlineStr">
        <is>
          <t>out_of_scope</t>
        </is>
      </c>
      <c r="H324" s="5" t="inlineStr">
        <is>
          <t>out_of_scope</t>
        </is>
      </c>
      <c r="I324" s="5" t="b">
        <v>1</v>
      </c>
      <c r="J324" s="5" t="b">
        <v>0</v>
      </c>
      <c r="K324" s="5" t="inlineStr">
        <is>
          <t>success</t>
        </is>
      </c>
      <c r="L324" s="5" t="n"/>
      <c r="M324" s="5" t="n"/>
      <c r="N324" s="5" t="n"/>
      <c r="O324" s="5" t="n">
        <v>2.21</v>
      </c>
    </row>
    <row r="325">
      <c r="A325" s="5" t="inlineStr">
        <is>
          <t>out_of_scope_001</t>
        </is>
      </c>
      <c r="B325" s="5" t="n">
        <v>3</v>
      </c>
      <c r="C325" s="5" t="inlineStr">
        <is>
          <t>out_of_scope</t>
        </is>
      </c>
      <c r="D325" s="5" t="n">
        <v/>
      </c>
      <c r="E325" s="5" t="inlineStr">
        <is>
          <t>ar</t>
        </is>
      </c>
      <c r="F325" s="5" t="inlineStr">
        <is>
          <t>zero-shot</t>
        </is>
      </c>
      <c r="G325" s="5" t="inlineStr">
        <is>
          <t>out_of_scope</t>
        </is>
      </c>
      <c r="H325" s="5" t="inlineStr">
        <is>
          <t>out_of_scope</t>
        </is>
      </c>
      <c r="I325" s="5" t="b">
        <v>1</v>
      </c>
      <c r="J325" s="5" t="b">
        <v>0</v>
      </c>
      <c r="K325" s="5" t="inlineStr">
        <is>
          <t>success</t>
        </is>
      </c>
      <c r="L325" s="5" t="n"/>
      <c r="M325" s="5" t="n"/>
      <c r="N325" s="5" t="n"/>
      <c r="O325" s="5" t="n">
        <v>2.55</v>
      </c>
    </row>
    <row r="326">
      <c r="A326" s="5" t="inlineStr">
        <is>
          <t>out_of_scope_002</t>
        </is>
      </c>
      <c r="B326" s="5" t="n">
        <v>3</v>
      </c>
      <c r="C326" s="5" t="inlineStr">
        <is>
          <t>out_of_scope</t>
        </is>
      </c>
      <c r="D326" s="5" t="n">
        <v/>
      </c>
      <c r="E326" s="5" t="inlineStr">
        <is>
          <t>en</t>
        </is>
      </c>
      <c r="F326" s="5" t="inlineStr">
        <is>
          <t>zero-shot</t>
        </is>
      </c>
      <c r="G326" s="5" t="inlineStr">
        <is>
          <t>out_of_scope</t>
        </is>
      </c>
      <c r="H326" s="5" t="inlineStr">
        <is>
          <t>out_of_scope</t>
        </is>
      </c>
      <c r="I326" s="5" t="b">
        <v>1</v>
      </c>
      <c r="J326" s="5" t="b">
        <v>0</v>
      </c>
      <c r="K326" s="5" t="inlineStr">
        <is>
          <t>success</t>
        </is>
      </c>
      <c r="L326" s="5" t="n"/>
      <c r="M326" s="5" t="n"/>
      <c r="N326" s="5" t="n"/>
      <c r="O326" s="5" t="n">
        <v>4.89</v>
      </c>
    </row>
    <row r="327">
      <c r="A327" s="5" t="inlineStr">
        <is>
          <t>out_of_scope_002</t>
        </is>
      </c>
      <c r="B327" s="5" t="n">
        <v>3</v>
      </c>
      <c r="C327" s="5" t="inlineStr">
        <is>
          <t>out_of_scope</t>
        </is>
      </c>
      <c r="D327" s="5" t="n">
        <v/>
      </c>
      <c r="E327" s="5" t="inlineStr">
        <is>
          <t>fr</t>
        </is>
      </c>
      <c r="F327" s="5" t="inlineStr">
        <is>
          <t>zero-shot</t>
        </is>
      </c>
      <c r="G327" s="5" t="inlineStr">
        <is>
          <t>out_of_scope</t>
        </is>
      </c>
      <c r="H327" s="5" t="inlineStr">
        <is>
          <t>out_of_scope</t>
        </is>
      </c>
      <c r="I327" s="5" t="b">
        <v>1</v>
      </c>
      <c r="J327" s="5" t="b">
        <v>0</v>
      </c>
      <c r="K327" s="5" t="inlineStr">
        <is>
          <t>success</t>
        </is>
      </c>
      <c r="L327" s="5" t="n"/>
      <c r="M327" s="5" t="n"/>
      <c r="N327" s="5" t="n"/>
      <c r="O327" s="5" t="n">
        <v>5.73</v>
      </c>
    </row>
    <row r="328">
      <c r="A328" s="5" t="inlineStr">
        <is>
          <t>out_of_scope_002</t>
        </is>
      </c>
      <c r="B328" s="5" t="n">
        <v>3</v>
      </c>
      <c r="C328" s="5" t="inlineStr">
        <is>
          <t>out_of_scope</t>
        </is>
      </c>
      <c r="D328" s="5" t="n">
        <v/>
      </c>
      <c r="E328" s="5" t="inlineStr">
        <is>
          <t>ar</t>
        </is>
      </c>
      <c r="F328" s="5" t="inlineStr">
        <is>
          <t>zero-shot</t>
        </is>
      </c>
      <c r="G328" s="5" t="inlineStr">
        <is>
          <t>out_of_scope</t>
        </is>
      </c>
      <c r="H328" s="5" t="inlineStr">
        <is>
          <t>ask_query</t>
        </is>
      </c>
      <c r="I328" s="5" t="b">
        <v>0</v>
      </c>
      <c r="J328" s="5" t="b">
        <v>0</v>
      </c>
      <c r="K328" s="5" t="inlineStr">
        <is>
          <t>success</t>
        </is>
      </c>
      <c r="L328" s="5" t="n"/>
      <c r="M328" s="5" t="n"/>
      <c r="N328" s="5" t="n"/>
      <c r="O328" s="5" t="n">
        <v>4.47</v>
      </c>
    </row>
    <row r="329">
      <c r="A329" s="5" t="inlineStr">
        <is>
          <t>out_of_scope_003</t>
        </is>
      </c>
      <c r="B329" s="5" t="n">
        <v>3</v>
      </c>
      <c r="C329" s="5" t="inlineStr">
        <is>
          <t>out_of_scope</t>
        </is>
      </c>
      <c r="D329" s="5" t="n">
        <v/>
      </c>
      <c r="E329" s="5" t="inlineStr">
        <is>
          <t>en</t>
        </is>
      </c>
      <c r="F329" s="5" t="inlineStr">
        <is>
          <t>zero-shot</t>
        </is>
      </c>
      <c r="G329" s="5" t="inlineStr">
        <is>
          <t>out_of_scope</t>
        </is>
      </c>
      <c r="H329" s="5" t="inlineStr">
        <is>
          <t>out_of_scope</t>
        </is>
      </c>
      <c r="I329" s="5" t="b">
        <v>1</v>
      </c>
      <c r="J329" s="5" t="b">
        <v>0</v>
      </c>
      <c r="K329" s="5" t="inlineStr">
        <is>
          <t>success</t>
        </is>
      </c>
      <c r="L329" s="5" t="n"/>
      <c r="M329" s="5" t="n"/>
      <c r="N329" s="5" t="n"/>
      <c r="O329" s="5" t="n">
        <v>3.02</v>
      </c>
    </row>
    <row r="330">
      <c r="A330" s="5" t="inlineStr">
        <is>
          <t>out_of_scope_003</t>
        </is>
      </c>
      <c r="B330" s="5" t="n">
        <v>3</v>
      </c>
      <c r="C330" s="5" t="inlineStr">
        <is>
          <t>out_of_scope</t>
        </is>
      </c>
      <c r="D330" s="5" t="n">
        <v/>
      </c>
      <c r="E330" s="5" t="inlineStr">
        <is>
          <t>fr</t>
        </is>
      </c>
      <c r="F330" s="5" t="inlineStr">
        <is>
          <t>zero-shot</t>
        </is>
      </c>
      <c r="G330" s="5" t="inlineStr">
        <is>
          <t>out_of_scope</t>
        </is>
      </c>
      <c r="H330" s="5" t="inlineStr">
        <is>
          <t>out_of_scope</t>
        </is>
      </c>
      <c r="I330" s="5" t="b">
        <v>1</v>
      </c>
      <c r="J330" s="5" t="b">
        <v>0</v>
      </c>
      <c r="K330" s="5" t="inlineStr">
        <is>
          <t>success</t>
        </is>
      </c>
      <c r="L330" s="5" t="n"/>
      <c r="M330" s="5" t="n"/>
      <c r="N330" s="5" t="n"/>
      <c r="O330" s="5" t="n">
        <v>3</v>
      </c>
    </row>
    <row r="331">
      <c r="A331" s="5" t="inlineStr">
        <is>
          <t>out_of_scope_003</t>
        </is>
      </c>
      <c r="B331" s="5" t="n">
        <v>3</v>
      </c>
      <c r="C331" s="5" t="inlineStr">
        <is>
          <t>out_of_scope</t>
        </is>
      </c>
      <c r="D331" s="5" t="n">
        <v/>
      </c>
      <c r="E331" s="5" t="inlineStr">
        <is>
          <t>ar</t>
        </is>
      </c>
      <c r="F331" s="5" t="inlineStr">
        <is>
          <t>zero-shot</t>
        </is>
      </c>
      <c r="G331" s="5" t="inlineStr">
        <is>
          <t>out_of_scope</t>
        </is>
      </c>
      <c r="H331" s="5" t="inlineStr">
        <is>
          <t>out_of_scope</t>
        </is>
      </c>
      <c r="I331" s="5" t="b">
        <v>1</v>
      </c>
      <c r="J331" s="5" t="b">
        <v>0</v>
      </c>
      <c r="K331" s="5" t="inlineStr">
        <is>
          <t>success</t>
        </is>
      </c>
      <c r="L331" s="5" t="n"/>
      <c r="M331" s="5" t="n"/>
      <c r="N331" s="5" t="n"/>
      <c r="O331" s="5" t="n">
        <v>2.92</v>
      </c>
    </row>
    <row r="332">
      <c r="A332" s="5" t="inlineStr">
        <is>
          <t>ask_query_001</t>
        </is>
      </c>
      <c r="B332" s="5" t="n">
        <v>3</v>
      </c>
      <c r="C332" s="5" t="inlineStr">
        <is>
          <t>ask_query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ask_query</t>
        </is>
      </c>
      <c r="H332" s="5" t="inlineStr">
        <is>
          <t>ask_query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5.44</v>
      </c>
    </row>
    <row r="333">
      <c r="A333" s="5" t="inlineStr">
        <is>
          <t>ask_query_001</t>
        </is>
      </c>
      <c r="B333" s="5" t="n">
        <v>3</v>
      </c>
      <c r="C333" s="5" t="inlineStr">
        <is>
          <t>ask_query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ask_query</t>
        </is>
      </c>
      <c r="H333" s="5" t="inlineStr">
        <is>
          <t>ask_query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5.17</v>
      </c>
    </row>
    <row r="334">
      <c r="A334" s="5" t="inlineStr">
        <is>
          <t>ask_query_001</t>
        </is>
      </c>
      <c r="B334" s="5" t="n">
        <v>3</v>
      </c>
      <c r="C334" s="5" t="inlineStr">
        <is>
          <t>ask_query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ask_query</t>
        </is>
      </c>
      <c r="H334" s="5" t="inlineStr">
        <is>
          <t>ask_query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3.52</v>
      </c>
    </row>
    <row r="335">
      <c r="A335" s="5" t="inlineStr">
        <is>
          <t>ask_query_002</t>
        </is>
      </c>
      <c r="B335" s="5" t="n">
        <v>3</v>
      </c>
      <c r="C335" s="5" t="inlineStr">
        <is>
          <t>ask_query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ask_query</t>
        </is>
      </c>
      <c r="H335" s="5" t="inlineStr">
        <is>
          <t>ask_query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5.39</v>
      </c>
    </row>
    <row r="336">
      <c r="A336" s="5" t="inlineStr">
        <is>
          <t>ask_query_002</t>
        </is>
      </c>
      <c r="B336" s="5" t="n">
        <v>3</v>
      </c>
      <c r="C336" s="5" t="inlineStr">
        <is>
          <t>ask_query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ask_query</t>
        </is>
      </c>
      <c r="H336" s="5" t="inlineStr">
        <is>
          <t>ask_query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5.58</v>
      </c>
    </row>
    <row r="337">
      <c r="A337" s="5" t="inlineStr">
        <is>
          <t>ask_query_002</t>
        </is>
      </c>
      <c r="B337" s="5" t="n">
        <v>3</v>
      </c>
      <c r="C337" s="5" t="inlineStr">
        <is>
          <t>ask_query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ask_query</t>
        </is>
      </c>
      <c r="H337" s="5" t="inlineStr">
        <is>
          <t>ask_query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4</v>
      </c>
    </row>
    <row r="338">
      <c r="A338" s="5" t="inlineStr">
        <is>
          <t>ask_query_003</t>
        </is>
      </c>
      <c r="B338" s="5" t="n">
        <v>3</v>
      </c>
      <c r="C338" s="5" t="inlineStr">
        <is>
          <t>ask_query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ask_query</t>
        </is>
      </c>
      <c r="H338" s="5" t="inlineStr">
        <is>
          <t>out_of_scope</t>
        </is>
      </c>
      <c r="I338" s="5" t="b">
        <v>0</v>
      </c>
      <c r="J338" s="5" t="b">
        <v>0</v>
      </c>
      <c r="K338" s="5" t="inlineStr">
        <is>
          <t>routing_miss</t>
        </is>
      </c>
      <c r="L338" s="5" t="n"/>
      <c r="M338" s="5" t="n"/>
      <c r="N338" s="5" t="n"/>
      <c r="O338" s="5" t="n">
        <v>3.4</v>
      </c>
    </row>
    <row r="339">
      <c r="A339" s="5" t="inlineStr">
        <is>
          <t>ask_query_003</t>
        </is>
      </c>
      <c r="B339" s="5" t="n">
        <v>3</v>
      </c>
      <c r="C339" s="5" t="inlineStr">
        <is>
          <t>ask_query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ask_query</t>
        </is>
      </c>
      <c r="H339" s="5" t="inlineStr">
        <is>
          <t>single_kg2</t>
        </is>
      </c>
      <c r="I339" s="5" t="b">
        <v>0</v>
      </c>
      <c r="J339" s="5" t="b">
        <v>0</v>
      </c>
      <c r="K339" s="5" t="inlineStr">
        <is>
          <t>mapping_failure</t>
        </is>
      </c>
      <c r="L339" s="5" t="inlineStr">
        <is>
          <t>entity='BLQ' -&gt; airport_uri='http://www.semanticweb.org/ontologies/airport_ontology#Airport/BLQ' | property_text='location' -&gt; property_uri=None</t>
        </is>
      </c>
      <c r="M339" s="5" t="n"/>
      <c r="N339" s="5" t="n"/>
      <c r="O339" s="5" t="n">
        <v>6.23</v>
      </c>
    </row>
    <row r="340">
      <c r="A340" s="5" t="inlineStr">
        <is>
          <t>ask_query_003</t>
        </is>
      </c>
      <c r="B340" s="5" t="n">
        <v>3</v>
      </c>
      <c r="C340" s="5" t="inlineStr">
        <is>
          <t>ask_query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ask_query</t>
        </is>
      </c>
      <c r="H340" s="5" t="inlineStr">
        <is>
          <t>ask_query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3.57</v>
      </c>
    </row>
    <row r="341">
      <c r="A341" s="5" t="inlineStr">
        <is>
          <t>ask_query_004</t>
        </is>
      </c>
      <c r="B341" s="5" t="n">
        <v>3</v>
      </c>
      <c r="C341" s="5" t="inlineStr">
        <is>
          <t>ask_query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ask_query</t>
        </is>
      </c>
      <c r="H341" s="5" t="inlineStr">
        <is>
          <t>ask_query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5.8</v>
      </c>
    </row>
    <row r="342">
      <c r="A342" s="5" t="inlineStr">
        <is>
          <t>ask_query_004</t>
        </is>
      </c>
      <c r="B342" s="5" t="n">
        <v>3</v>
      </c>
      <c r="C342" s="5" t="inlineStr">
        <is>
          <t>ask_query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ask_query</t>
        </is>
      </c>
      <c r="H342" s="5" t="inlineStr">
        <is>
          <t>ask_query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6.62</v>
      </c>
    </row>
    <row r="343">
      <c r="A343" s="5" t="inlineStr">
        <is>
          <t>ask_query_004</t>
        </is>
      </c>
      <c r="B343" s="5" t="n">
        <v>3</v>
      </c>
      <c r="C343" s="5" t="inlineStr">
        <is>
          <t>ask_query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ask_query</t>
        </is>
      </c>
      <c r="H343" s="5" t="inlineStr">
        <is>
          <t>ask_query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4.31</v>
      </c>
    </row>
    <row r="344">
      <c r="A344" s="5" t="inlineStr">
        <is>
          <t>typo_fuzzy_001</t>
        </is>
      </c>
      <c r="B344" s="5" t="n">
        <v>3</v>
      </c>
      <c r="C344" s="5" t="inlineStr">
        <is>
          <t>typo_fuzzy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14.36</v>
      </c>
    </row>
    <row r="345">
      <c r="A345" s="5" t="inlineStr">
        <is>
          <t>typo_fuzzy_001</t>
        </is>
      </c>
      <c r="B345" s="5" t="n">
        <v>3</v>
      </c>
      <c r="C345" s="5" t="inlineStr">
        <is>
          <t>typo_fuzzy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15.04</v>
      </c>
    </row>
    <row r="346">
      <c r="A346" s="5" t="inlineStr">
        <is>
          <t>typo_fuzzy_001</t>
        </is>
      </c>
      <c r="B346" s="5" t="n">
        <v>3</v>
      </c>
      <c r="C346" s="5" t="inlineStr">
        <is>
          <t>typo_fuzzy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14.6</v>
      </c>
    </row>
    <row r="347">
      <c r="A347" s="5" t="inlineStr">
        <is>
          <t>typo_fuzzy_002</t>
        </is>
      </c>
      <c r="B347" s="5" t="n">
        <v>3</v>
      </c>
      <c r="C347" s="5" t="inlineStr">
        <is>
          <t>typo_fuzzy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cross_kg</t>
        </is>
      </c>
      <c r="I347" s="5" t="b">
        <v>1</v>
      </c>
      <c r="J347" s="5" t="b">
        <v>0</v>
      </c>
      <c r="K347" s="5" t="inlineStr">
        <is>
          <t>mapping_failure</t>
        </is>
      </c>
      <c r="L347" s="5" t="n"/>
      <c r="M347" s="5" t="n">
        <v>0</v>
      </c>
      <c r="N347" s="5" t="n">
        <v>0</v>
      </c>
      <c r="O347" s="5" t="n">
        <v>10.92</v>
      </c>
    </row>
    <row r="348">
      <c r="A348" s="5" t="inlineStr">
        <is>
          <t>typo_fuzzy_002</t>
        </is>
      </c>
      <c r="B348" s="5" t="n">
        <v>3</v>
      </c>
      <c r="C348" s="5" t="inlineStr">
        <is>
          <t>typo_fuzzy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single_kg1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17.05</v>
      </c>
    </row>
    <row r="349">
      <c r="A349" s="5" t="inlineStr">
        <is>
          <t>typo_fuzzy_002</t>
        </is>
      </c>
      <c r="B349" s="5" t="n">
        <v>3</v>
      </c>
      <c r="C349" s="5" t="inlineStr">
        <is>
          <t>typo_fuzzy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single_kg1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19.45</v>
      </c>
    </row>
    <row r="350">
      <c r="A350" s="5" t="inlineStr">
        <is>
          <t>typo_fuzzy_003</t>
        </is>
      </c>
      <c r="B350" s="5" t="n">
        <v>3</v>
      </c>
      <c r="C350" s="5" t="inlineStr">
        <is>
          <t>typo_fuzzy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single_kg2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17.93</v>
      </c>
    </row>
    <row r="351">
      <c r="A351" s="5" t="inlineStr">
        <is>
          <t>typo_fuzzy_003</t>
        </is>
      </c>
      <c r="B351" s="5" t="n">
        <v>3</v>
      </c>
      <c r="C351" s="5" t="inlineStr">
        <is>
          <t>typo_fuzzy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single_kg2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20.45</v>
      </c>
    </row>
    <row r="352">
      <c r="A352" s="5" t="inlineStr">
        <is>
          <t>typo_fuzzy_003</t>
        </is>
      </c>
      <c r="B352" s="5" t="n">
        <v>3</v>
      </c>
      <c r="C352" s="5" t="inlineStr">
        <is>
          <t>typo_fuzzy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single_kg2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18.77</v>
      </c>
    </row>
    <row r="353">
      <c r="A353" s="5" t="inlineStr">
        <is>
          <t>multilingual_edge_001</t>
        </is>
      </c>
      <c r="B353" s="5" t="n">
        <v>3</v>
      </c>
      <c r="C353" s="5" t="inlineStr">
        <is>
          <t>multilingual_edge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14.75</v>
      </c>
    </row>
    <row r="354">
      <c r="A354" s="5" t="inlineStr">
        <is>
          <t>multilingual_edge_001</t>
        </is>
      </c>
      <c r="B354" s="5" t="n">
        <v>3</v>
      </c>
      <c r="C354" s="5" t="inlineStr">
        <is>
          <t>multilingual_edge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16.01</v>
      </c>
    </row>
    <row r="355">
      <c r="A355" s="5" t="inlineStr">
        <is>
          <t>multilingual_edge_001</t>
        </is>
      </c>
      <c r="B355" s="5" t="n">
        <v>3</v>
      </c>
      <c r="C355" s="5" t="inlineStr">
        <is>
          <t>multilingual_edge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14.44</v>
      </c>
    </row>
    <row r="356">
      <c r="A356" s="5" t="inlineStr">
        <is>
          <t>multilingual_edge_002</t>
        </is>
      </c>
      <c r="B356" s="5" t="n">
        <v>3</v>
      </c>
      <c r="C356" s="5" t="inlineStr">
        <is>
          <t>multilingual_edge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single_kg2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14.45</v>
      </c>
    </row>
    <row r="357">
      <c r="A357" s="5" t="inlineStr">
        <is>
          <t>multilingual_edge_002</t>
        </is>
      </c>
      <c r="B357" s="5" t="n">
        <v>3</v>
      </c>
      <c r="C357" s="5" t="inlineStr">
        <is>
          <t>multilingual_edge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single_kg2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16.36</v>
      </c>
    </row>
    <row r="358">
      <c r="A358" s="5" t="inlineStr">
        <is>
          <t>multilingual_edge_002</t>
        </is>
      </c>
      <c r="B358" s="5" t="n">
        <v>3</v>
      </c>
      <c r="C358" s="5" t="inlineStr">
        <is>
          <t>multilingual_edge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single_kg2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14.75</v>
      </c>
    </row>
    <row r="359">
      <c r="A359" s="5" t="inlineStr">
        <is>
          <t>multilingual_edge_003</t>
        </is>
      </c>
      <c r="B359" s="5" t="n">
        <v>3</v>
      </c>
      <c r="C359" s="5" t="inlineStr">
        <is>
          <t>multilingual_edge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ask_query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4.66</v>
      </c>
    </row>
    <row r="360">
      <c r="A360" s="5" t="inlineStr">
        <is>
          <t>multilingual_edge_003</t>
        </is>
      </c>
      <c r="B360" s="5" t="n">
        <v>3</v>
      </c>
      <c r="C360" s="5" t="inlineStr">
        <is>
          <t>multilingual_edge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ask_query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6.14</v>
      </c>
    </row>
    <row r="361">
      <c r="A361" s="5" t="inlineStr">
        <is>
          <t>multilingual_edge_003</t>
        </is>
      </c>
      <c r="B361" s="5" t="n">
        <v>3</v>
      </c>
      <c r="C361" s="5" t="inlineStr">
        <is>
          <t>multilingual_edge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ask_query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1</v>
      </c>
      <c r="N361" s="5" t="n">
        <v>1</v>
      </c>
      <c r="O361" s="5" t="n">
        <v>3.85</v>
      </c>
    </row>
    <row r="362">
      <c r="A362" s="5" t="inlineStr">
        <is>
          <t>multilingual_edge_004</t>
        </is>
      </c>
      <c r="B362" s="5" t="n">
        <v>3</v>
      </c>
      <c r="C362" s="5" t="inlineStr">
        <is>
          <t>multilingual_edge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single_kg2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13.65</v>
      </c>
    </row>
    <row r="363">
      <c r="A363" s="5" t="inlineStr">
        <is>
          <t>multilingual_edge_004</t>
        </is>
      </c>
      <c r="B363" s="5" t="n">
        <v>3</v>
      </c>
      <c r="C363" s="5" t="inlineStr">
        <is>
          <t>multilingual_edge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single_kg2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15.99</v>
      </c>
    </row>
    <row r="364">
      <c r="A364" s="5" t="inlineStr">
        <is>
          <t>multilingual_edge_004</t>
        </is>
      </c>
      <c r="B364" s="5" t="n">
        <v>3</v>
      </c>
      <c r="C364" s="5" t="inlineStr">
        <is>
          <t>multilingual_edge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single_kg2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1</v>
      </c>
      <c r="N364" s="5" t="n">
        <v>1</v>
      </c>
      <c r="O364" s="5" t="n">
        <v>14.63</v>
      </c>
    </row>
    <row r="365">
      <c r="A365" s="5" t="inlineStr">
        <is>
          <t>property_ambiguity_001</t>
        </is>
      </c>
      <c r="B365" s="5" t="n">
        <v>3</v>
      </c>
      <c r="C365" s="5" t="inlineStr">
        <is>
          <t>property_ambiguity</t>
        </is>
      </c>
      <c r="D365" s="5" t="inlineStr">
        <is>
          <t>mixed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VARIES</t>
        </is>
      </c>
      <c r="H365" s="5" t="inlineStr">
        <is>
          <t>single_kg3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1</v>
      </c>
      <c r="N365" s="5" t="n">
        <v>1</v>
      </c>
      <c r="O365" s="5" t="n">
        <v>11.32</v>
      </c>
    </row>
    <row r="366">
      <c r="A366" s="5" t="inlineStr">
        <is>
          <t>property_ambiguity_001</t>
        </is>
      </c>
      <c r="B366" s="5" t="n">
        <v>3</v>
      </c>
      <c r="C366" s="5" t="inlineStr">
        <is>
          <t>property_ambiguity</t>
        </is>
      </c>
      <c r="D366" s="5" t="inlineStr">
        <is>
          <t>mixed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VARIES</t>
        </is>
      </c>
      <c r="H366" s="5" t="inlineStr">
        <is>
          <t>single_kg3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n">
        <v>1</v>
      </c>
      <c r="N366" s="5" t="n">
        <v>1</v>
      </c>
      <c r="O366" s="5" t="n">
        <v>11.44</v>
      </c>
    </row>
    <row r="367">
      <c r="A367" s="5" t="inlineStr">
        <is>
          <t>property_ambiguity_001</t>
        </is>
      </c>
      <c r="B367" s="5" t="n">
        <v>3</v>
      </c>
      <c r="C367" s="5" t="inlineStr">
        <is>
          <t>property_ambiguity</t>
        </is>
      </c>
      <c r="D367" s="5" t="inlineStr">
        <is>
          <t>mixed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VARIES</t>
        </is>
      </c>
      <c r="H367" s="5" t="inlineStr">
        <is>
          <t>single_kg3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11.59</v>
      </c>
    </row>
    <row r="368">
      <c r="A368" s="5" t="inlineStr">
        <is>
          <t>property_ambiguity_002</t>
        </is>
      </c>
      <c r="B368" s="5" t="n">
        <v>3</v>
      </c>
      <c r="C368" s="5" t="inlineStr">
        <is>
          <t>property_ambiguity</t>
        </is>
      </c>
      <c r="D368" s="5" t="inlineStr">
        <is>
          <t>mixed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VARIES</t>
        </is>
      </c>
      <c r="H368" s="5" t="inlineStr">
        <is>
          <t>single_kg3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9.94</v>
      </c>
    </row>
    <row r="369">
      <c r="A369" s="5" t="inlineStr">
        <is>
          <t>property_ambiguity_002</t>
        </is>
      </c>
      <c r="B369" s="5" t="n">
        <v>3</v>
      </c>
      <c r="C369" s="5" t="inlineStr">
        <is>
          <t>property_ambiguity</t>
        </is>
      </c>
      <c r="D369" s="5" t="inlineStr">
        <is>
          <t>mixed</t>
        </is>
      </c>
      <c r="E369" s="5" t="inlineStr">
        <is>
          <t>fr</t>
        </is>
      </c>
      <c r="F369" s="5" t="inlineStr">
        <is>
          <t>zero-shot</t>
        </is>
      </c>
      <c r="G369" s="5" t="inlineStr">
        <is>
          <t>VARIES</t>
        </is>
      </c>
      <c r="H369" s="5" t="inlineStr">
        <is>
          <t>single_kg3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11.15</v>
      </c>
    </row>
    <row r="370">
      <c r="A370" s="5" t="inlineStr">
        <is>
          <t>property_ambiguity_002</t>
        </is>
      </c>
      <c r="B370" s="5" t="n">
        <v>3</v>
      </c>
      <c r="C370" s="5" t="inlineStr">
        <is>
          <t>property_ambiguity</t>
        </is>
      </c>
      <c r="D370" s="5" t="inlineStr">
        <is>
          <t>mixed</t>
        </is>
      </c>
      <c r="E370" s="5" t="inlineStr">
        <is>
          <t>ar</t>
        </is>
      </c>
      <c r="F370" s="5" t="inlineStr">
        <is>
          <t>zero-shot</t>
        </is>
      </c>
      <c r="G370" s="5" t="inlineStr">
        <is>
          <t>VARIES</t>
        </is>
      </c>
      <c r="H370" s="5" t="inlineStr">
        <is>
          <t>single_kg3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11.08</v>
      </c>
    </row>
    <row r="371">
      <c r="A371" s="5" t="inlineStr">
        <is>
          <t>property_ambiguity_003</t>
        </is>
      </c>
      <c r="B371" s="5" t="n">
        <v>3</v>
      </c>
      <c r="C371" s="5" t="inlineStr">
        <is>
          <t>property_ambiguity</t>
        </is>
      </c>
      <c r="D371" s="5" t="inlineStr">
        <is>
          <t>mixed</t>
        </is>
      </c>
      <c r="E371" s="5" t="inlineStr">
        <is>
          <t>en</t>
        </is>
      </c>
      <c r="F371" s="5" t="inlineStr">
        <is>
          <t>zero-shot</t>
        </is>
      </c>
      <c r="G371" s="5" t="inlineStr">
        <is>
          <t>VARIES</t>
        </is>
      </c>
      <c r="H371" s="5" t="inlineStr">
        <is>
          <t>single_kg3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11.48</v>
      </c>
    </row>
    <row r="372">
      <c r="A372" s="5" t="inlineStr">
        <is>
          <t>property_ambiguity_003</t>
        </is>
      </c>
      <c r="B372" s="5" t="n">
        <v>3</v>
      </c>
      <c r="C372" s="5" t="inlineStr">
        <is>
          <t>property_ambiguity</t>
        </is>
      </c>
      <c r="D372" s="5" t="inlineStr">
        <is>
          <t>mixed</t>
        </is>
      </c>
      <c r="E372" s="5" t="inlineStr">
        <is>
          <t>fr</t>
        </is>
      </c>
      <c r="F372" s="5" t="inlineStr">
        <is>
          <t>zero-shot</t>
        </is>
      </c>
      <c r="G372" s="5" t="inlineStr">
        <is>
          <t>VARIES</t>
        </is>
      </c>
      <c r="H372" s="5" t="inlineStr">
        <is>
          <t>single_kg3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11.41</v>
      </c>
    </row>
    <row r="373">
      <c r="A373" s="5" t="inlineStr">
        <is>
          <t>property_ambiguity_003</t>
        </is>
      </c>
      <c r="B373" s="5" t="n">
        <v>3</v>
      </c>
      <c r="C373" s="5" t="inlineStr">
        <is>
          <t>property_ambiguity</t>
        </is>
      </c>
      <c r="D373" s="5" t="inlineStr">
        <is>
          <t>mixed</t>
        </is>
      </c>
      <c r="E373" s="5" t="inlineStr">
        <is>
          <t>ar</t>
        </is>
      </c>
      <c r="F373" s="5" t="inlineStr">
        <is>
          <t>zero-shot</t>
        </is>
      </c>
      <c r="G373" s="5" t="inlineStr">
        <is>
          <t>VARIES</t>
        </is>
      </c>
      <c r="H373" s="5" t="inlineStr">
        <is>
          <t>template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0</v>
      </c>
      <c r="N373" s="5" t="n">
        <v>0</v>
      </c>
      <c r="O373" s="5" t="n">
        <v>6.9</v>
      </c>
    </row>
    <row r="374">
      <c r="A374" s="5" t="inlineStr">
        <is>
          <t>property_ambiguity_004</t>
        </is>
      </c>
      <c r="B374" s="5" t="n">
        <v>3</v>
      </c>
      <c r="C374" s="5" t="inlineStr">
        <is>
          <t>property_ambiguity</t>
        </is>
      </c>
      <c r="D374" s="5" t="inlineStr">
        <is>
          <t>mixed</t>
        </is>
      </c>
      <c r="E374" s="5" t="inlineStr">
        <is>
          <t>en</t>
        </is>
      </c>
      <c r="F374" s="5" t="inlineStr">
        <is>
          <t>zero-shot</t>
        </is>
      </c>
      <c r="G374" s="5" t="inlineStr">
        <is>
          <t>VARIES</t>
        </is>
      </c>
      <c r="H374" s="5" t="inlineStr">
        <is>
          <t>template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0</v>
      </c>
      <c r="N374" s="5" t="n">
        <v>0</v>
      </c>
      <c r="O374" s="5" t="n">
        <v>6.36</v>
      </c>
    </row>
    <row r="375">
      <c r="A375" s="5" t="inlineStr">
        <is>
          <t>property_ambiguity_004</t>
        </is>
      </c>
      <c r="B375" s="5" t="n">
        <v>3</v>
      </c>
      <c r="C375" s="5" t="inlineStr">
        <is>
          <t>property_ambiguity</t>
        </is>
      </c>
      <c r="D375" s="5" t="inlineStr">
        <is>
          <t>mixed</t>
        </is>
      </c>
      <c r="E375" s="5" t="inlineStr">
        <is>
          <t>fr</t>
        </is>
      </c>
      <c r="F375" s="5" t="inlineStr">
        <is>
          <t>zero-shot</t>
        </is>
      </c>
      <c r="G375" s="5" t="inlineStr">
        <is>
          <t>VARIES</t>
        </is>
      </c>
      <c r="H375" s="5" t="inlineStr">
        <is>
          <t>single_kg3</t>
        </is>
      </c>
      <c r="I375" s="5" t="b">
        <v>1</v>
      </c>
      <c r="J375" s="5" t="b">
        <v>1</v>
      </c>
      <c r="K375" s="5" t="inlineStr">
        <is>
          <t>no_results</t>
        </is>
      </c>
      <c r="L375" s="5" t="n"/>
      <c r="M375" s="5" t="n">
        <v>0</v>
      </c>
      <c r="N375" s="5" t="n">
        <v>0</v>
      </c>
      <c r="O375" s="5" t="n">
        <v>11.98</v>
      </c>
    </row>
    <row r="376">
      <c r="A376" s="5" t="inlineStr">
        <is>
          <t>property_ambiguity_004</t>
        </is>
      </c>
      <c r="B376" s="5" t="n">
        <v>3</v>
      </c>
      <c r="C376" s="5" t="inlineStr">
        <is>
          <t>property_ambiguity</t>
        </is>
      </c>
      <c r="D376" s="5" t="inlineStr">
        <is>
          <t>mixed</t>
        </is>
      </c>
      <c r="E376" s="5" t="inlineStr">
        <is>
          <t>ar</t>
        </is>
      </c>
      <c r="F376" s="5" t="inlineStr">
        <is>
          <t>zero-shot</t>
        </is>
      </c>
      <c r="G376" s="5" t="inlineStr">
        <is>
          <t>VARIES</t>
        </is>
      </c>
      <c r="H376" s="5" t="inlineStr">
        <is>
          <t>single_kg3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10.67</v>
      </c>
    </row>
    <row r="377">
      <c r="A377" s="5" t="inlineStr">
        <is>
          <t>single_kg1_010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en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13.74</v>
      </c>
    </row>
    <row r="378">
      <c r="A378" s="5" t="inlineStr">
        <is>
          <t>single_kg1_010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en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1</v>
      </c>
      <c r="K378" s="5" t="inlineStr">
        <is>
          <t>success</t>
        </is>
      </c>
      <c r="L378" s="5" t="n"/>
      <c r="M378" s="5" t="n">
        <v>1</v>
      </c>
      <c r="N378" s="5" t="n">
        <v>1</v>
      </c>
      <c r="O378" s="5" t="n">
        <v>12.81</v>
      </c>
    </row>
    <row r="379">
      <c r="A379" s="5" t="inlineStr">
        <is>
          <t>single_kg1_010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en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1</v>
      </c>
      <c r="K379" s="5" t="inlineStr">
        <is>
          <t>success</t>
        </is>
      </c>
      <c r="L379" s="5" t="n"/>
      <c r="M379" s="5" t="n">
        <v>1</v>
      </c>
      <c r="N379" s="5" t="n">
        <v>1</v>
      </c>
      <c r="O379" s="5" t="n">
        <v>12.92</v>
      </c>
    </row>
    <row r="380">
      <c r="A380" s="5" t="inlineStr">
        <is>
          <t>single_kg1_010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fr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14.65</v>
      </c>
    </row>
    <row r="381">
      <c r="A381" s="5" t="inlineStr">
        <is>
          <t>single_kg1_010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fr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14.33</v>
      </c>
    </row>
    <row r="382">
      <c r="A382" s="5" t="inlineStr">
        <is>
          <t>single_kg1_010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fr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15.05</v>
      </c>
    </row>
    <row r="383">
      <c r="A383" s="5" t="inlineStr">
        <is>
          <t>single_kg1_010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ar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13.14</v>
      </c>
    </row>
    <row r="384">
      <c r="A384" s="5" t="inlineStr">
        <is>
          <t>single_kg1_010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ar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1</v>
      </c>
      <c r="K384" s="5" t="inlineStr">
        <is>
          <t>success</t>
        </is>
      </c>
      <c r="L384" s="5" t="n"/>
      <c r="M384" s="5" t="n">
        <v>1</v>
      </c>
      <c r="N384" s="5" t="n">
        <v>1</v>
      </c>
      <c r="O384" s="5" t="n">
        <v>13.22</v>
      </c>
    </row>
    <row r="385">
      <c r="A385" s="5" t="inlineStr">
        <is>
          <t>single_kg1_010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ar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1</v>
      </c>
      <c r="K385" s="5" t="inlineStr">
        <is>
          <t>success</t>
        </is>
      </c>
      <c r="L385" s="5" t="n"/>
      <c r="M385" s="5" t="n">
        <v>1</v>
      </c>
      <c r="N385" s="5" t="n">
        <v>1</v>
      </c>
      <c r="O385" s="5" t="n">
        <v>14.16</v>
      </c>
    </row>
    <row r="386">
      <c r="A386" s="5" t="inlineStr">
        <is>
          <t>single_kg1_011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en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18.55</v>
      </c>
    </row>
    <row r="387">
      <c r="A387" s="5" t="inlineStr">
        <is>
          <t>single_kg1_011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en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17.8</v>
      </c>
    </row>
    <row r="388">
      <c r="A388" s="5" t="inlineStr">
        <is>
          <t>single_kg1_011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en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19.43</v>
      </c>
    </row>
    <row r="389">
      <c r="A389" s="5" t="inlineStr">
        <is>
          <t>single_kg1_011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fr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20.24</v>
      </c>
    </row>
    <row r="390">
      <c r="A390" s="5" t="inlineStr">
        <is>
          <t>single_kg1_011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fr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18.47</v>
      </c>
    </row>
    <row r="391">
      <c r="A391" s="5" t="inlineStr">
        <is>
          <t>single_kg1_011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fr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19.87</v>
      </c>
    </row>
    <row r="392">
      <c r="A392" s="5" t="inlineStr">
        <is>
          <t>single_kg1_011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ar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18.95</v>
      </c>
    </row>
    <row r="393">
      <c r="A393" s="5" t="inlineStr">
        <is>
          <t>single_kg1_011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ar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0</v>
      </c>
      <c r="K393" s="5" t="inlineStr">
        <is>
          <t>mapping_failure</t>
        </is>
      </c>
      <c r="L393" s="5" t="n"/>
      <c r="M393" s="5" t="n">
        <v>0</v>
      </c>
      <c r="N393" s="5" t="n">
        <v>0</v>
      </c>
      <c r="O393" s="5" t="n">
        <v>1.52</v>
      </c>
    </row>
    <row r="394">
      <c r="A394" s="5" t="inlineStr">
        <is>
          <t>single_kg1_011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ar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0</v>
      </c>
      <c r="K394" s="5" t="inlineStr">
        <is>
          <t>mapping_failure</t>
        </is>
      </c>
      <c r="L394" s="5" t="n"/>
      <c r="M394" s="5" t="n">
        <v>0</v>
      </c>
      <c r="N394" s="5" t="n">
        <v>0</v>
      </c>
      <c r="O394" s="5" t="n">
        <v>1.47</v>
      </c>
    </row>
    <row r="395">
      <c r="A395" s="5" t="inlineStr">
        <is>
          <t>single_kg1_012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en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18.43</v>
      </c>
    </row>
    <row r="396">
      <c r="A396" s="5" t="inlineStr">
        <is>
          <t>single_kg1_012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en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16.32</v>
      </c>
    </row>
    <row r="397">
      <c r="A397" s="5" t="inlineStr">
        <is>
          <t>single_kg1_012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en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17.33</v>
      </c>
    </row>
    <row r="398">
      <c r="A398" s="5" t="inlineStr">
        <is>
          <t>single_kg1_012</t>
        </is>
      </c>
      <c r="B398" s="5" t="n">
        <v>1</v>
      </c>
      <c r="C398" s="5" t="inlineStr">
        <is>
          <t>single_kg1</t>
        </is>
      </c>
      <c r="D398" s="5" t="inlineStr">
        <is>
          <t>flights</t>
        </is>
      </c>
      <c r="E398" s="5" t="inlineStr">
        <is>
          <t>fr</t>
        </is>
      </c>
      <c r="F398" s="5" t="inlineStr">
        <is>
          <t>zero-shot</t>
        </is>
      </c>
      <c r="G398" s="5" t="inlineStr">
        <is>
          <t>single_kg1</t>
        </is>
      </c>
      <c r="H398" s="5" t="inlineStr">
        <is>
          <t>single_kg1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18</v>
      </c>
    </row>
    <row r="399">
      <c r="A399" s="5" t="inlineStr">
        <is>
          <t>single_kg1_012</t>
        </is>
      </c>
      <c r="B399" s="5" t="n">
        <v>1</v>
      </c>
      <c r="C399" s="5" t="inlineStr">
        <is>
          <t>single_kg1</t>
        </is>
      </c>
      <c r="D399" s="5" t="inlineStr">
        <is>
          <t>flights</t>
        </is>
      </c>
      <c r="E399" s="5" t="inlineStr">
        <is>
          <t>fr</t>
        </is>
      </c>
      <c r="F399" s="5" t="inlineStr">
        <is>
          <t>few-shot</t>
        </is>
      </c>
      <c r="G399" s="5" t="inlineStr">
        <is>
          <t>single_kg1</t>
        </is>
      </c>
      <c r="H399" s="5" t="inlineStr">
        <is>
          <t>single_kg1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18.87</v>
      </c>
    </row>
    <row r="400">
      <c r="A400" s="5" t="inlineStr">
        <is>
          <t>single_kg1_012</t>
        </is>
      </c>
      <c r="B400" s="5" t="n">
        <v>1</v>
      </c>
      <c r="C400" s="5" t="inlineStr">
        <is>
          <t>single_kg1</t>
        </is>
      </c>
      <c r="D400" s="5" t="inlineStr">
        <is>
          <t>flights</t>
        </is>
      </c>
      <c r="E400" s="5" t="inlineStr">
        <is>
          <t>fr</t>
        </is>
      </c>
      <c r="F400" s="5" t="inlineStr">
        <is>
          <t>cot</t>
        </is>
      </c>
      <c r="G400" s="5" t="inlineStr">
        <is>
          <t>single_kg1</t>
        </is>
      </c>
      <c r="H400" s="5" t="inlineStr">
        <is>
          <t>single_kg1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20.24</v>
      </c>
    </row>
    <row r="401">
      <c r="A401" s="5" t="inlineStr">
        <is>
          <t>single_kg1_012</t>
        </is>
      </c>
      <c r="B401" s="5" t="n">
        <v>1</v>
      </c>
      <c r="C401" s="5" t="inlineStr">
        <is>
          <t>single_kg1</t>
        </is>
      </c>
      <c r="D401" s="5" t="inlineStr">
        <is>
          <t>flights</t>
        </is>
      </c>
      <c r="E401" s="5" t="inlineStr">
        <is>
          <t>ar</t>
        </is>
      </c>
      <c r="F401" s="5" t="inlineStr">
        <is>
          <t>zero-shot</t>
        </is>
      </c>
      <c r="G401" s="5" t="inlineStr">
        <is>
          <t>single_kg1</t>
        </is>
      </c>
      <c r="H401" s="5" t="inlineStr">
        <is>
          <t>single_kg1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17.77</v>
      </c>
    </row>
    <row r="402">
      <c r="A402" s="5" t="inlineStr">
        <is>
          <t>single_kg1_012</t>
        </is>
      </c>
      <c r="B402" s="5" t="n">
        <v>1</v>
      </c>
      <c r="C402" s="5" t="inlineStr">
        <is>
          <t>single_kg1</t>
        </is>
      </c>
      <c r="D402" s="5" t="inlineStr">
        <is>
          <t>flights</t>
        </is>
      </c>
      <c r="E402" s="5" t="inlineStr">
        <is>
          <t>ar</t>
        </is>
      </c>
      <c r="F402" s="5" t="inlineStr">
        <is>
          <t>few-shot</t>
        </is>
      </c>
      <c r="G402" s="5" t="inlineStr">
        <is>
          <t>single_kg1</t>
        </is>
      </c>
      <c r="H402" s="5" t="inlineStr">
        <is>
          <t>single_kg1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18.6</v>
      </c>
    </row>
    <row r="403">
      <c r="A403" s="5" t="inlineStr">
        <is>
          <t>single_kg1_012</t>
        </is>
      </c>
      <c r="B403" s="5" t="n">
        <v>1</v>
      </c>
      <c r="C403" s="5" t="inlineStr">
        <is>
          <t>single_kg1</t>
        </is>
      </c>
      <c r="D403" s="5" t="inlineStr">
        <is>
          <t>flights</t>
        </is>
      </c>
      <c r="E403" s="5" t="inlineStr">
        <is>
          <t>ar</t>
        </is>
      </c>
      <c r="F403" s="5" t="inlineStr">
        <is>
          <t>cot</t>
        </is>
      </c>
      <c r="G403" s="5" t="inlineStr">
        <is>
          <t>single_kg1</t>
        </is>
      </c>
      <c r="H403" s="5" t="inlineStr">
        <is>
          <t>single_kg1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19.8</v>
      </c>
    </row>
    <row r="404">
      <c r="A404" s="5" t="inlineStr">
        <is>
          <t>single_kg1_013</t>
        </is>
      </c>
      <c r="B404" s="5" t="n">
        <v>1</v>
      </c>
      <c r="C404" s="5" t="inlineStr">
        <is>
          <t>single_kg1</t>
        </is>
      </c>
      <c r="D404" s="5" t="inlineStr">
        <is>
          <t>flights</t>
        </is>
      </c>
      <c r="E404" s="5" t="inlineStr">
        <is>
          <t>en</t>
        </is>
      </c>
      <c r="F404" s="5" t="inlineStr">
        <is>
          <t>zero-shot</t>
        </is>
      </c>
      <c r="G404" s="5" t="inlineStr">
        <is>
          <t>single_kg1</t>
        </is>
      </c>
      <c r="H404" s="5" t="inlineStr">
        <is>
          <t>single_kg1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13.92</v>
      </c>
    </row>
    <row r="405">
      <c r="A405" s="5" t="inlineStr">
        <is>
          <t>single_kg1_013</t>
        </is>
      </c>
      <c r="B405" s="5" t="n">
        <v>1</v>
      </c>
      <c r="C405" s="5" t="inlineStr">
        <is>
          <t>single_kg1</t>
        </is>
      </c>
      <c r="D405" s="5" t="inlineStr">
        <is>
          <t>flights</t>
        </is>
      </c>
      <c r="E405" s="5" t="inlineStr">
        <is>
          <t>en</t>
        </is>
      </c>
      <c r="F405" s="5" t="inlineStr">
        <is>
          <t>few-shot</t>
        </is>
      </c>
      <c r="G405" s="5" t="inlineStr">
        <is>
          <t>single_kg1</t>
        </is>
      </c>
      <c r="H405" s="5" t="inlineStr">
        <is>
          <t>single_kg1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12.56</v>
      </c>
    </row>
    <row r="406">
      <c r="A406" s="5" t="inlineStr">
        <is>
          <t>single_kg1_013</t>
        </is>
      </c>
      <c r="B406" s="5" t="n">
        <v>1</v>
      </c>
      <c r="C406" s="5" t="inlineStr">
        <is>
          <t>single_kg1</t>
        </is>
      </c>
      <c r="D406" s="5" t="inlineStr">
        <is>
          <t>flights</t>
        </is>
      </c>
      <c r="E406" s="5" t="inlineStr">
        <is>
          <t>en</t>
        </is>
      </c>
      <c r="F406" s="5" t="inlineStr">
        <is>
          <t>cot</t>
        </is>
      </c>
      <c r="G406" s="5" t="inlineStr">
        <is>
          <t>single_kg1</t>
        </is>
      </c>
      <c r="H406" s="5" t="inlineStr">
        <is>
          <t>single_kg1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13.51</v>
      </c>
    </row>
    <row r="407">
      <c r="A407" s="5" t="inlineStr">
        <is>
          <t>single_kg1_013</t>
        </is>
      </c>
      <c r="B407" s="5" t="n">
        <v>1</v>
      </c>
      <c r="C407" s="5" t="inlineStr">
        <is>
          <t>single_kg1</t>
        </is>
      </c>
      <c r="D407" s="5" t="inlineStr">
        <is>
          <t>flights</t>
        </is>
      </c>
      <c r="E407" s="5" t="inlineStr">
        <is>
          <t>fr</t>
        </is>
      </c>
      <c r="F407" s="5" t="inlineStr">
        <is>
          <t>zero-shot</t>
        </is>
      </c>
      <c r="G407" s="5" t="inlineStr">
        <is>
          <t>single_kg1</t>
        </is>
      </c>
      <c r="H407" s="5" t="inlineStr">
        <is>
          <t>single_kg1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14.38</v>
      </c>
    </row>
    <row r="408">
      <c r="A408" s="5" t="inlineStr">
        <is>
          <t>single_kg1_013</t>
        </is>
      </c>
      <c r="B408" s="5" t="n">
        <v>1</v>
      </c>
      <c r="C408" s="5" t="inlineStr">
        <is>
          <t>single_kg1</t>
        </is>
      </c>
      <c r="D408" s="5" t="inlineStr">
        <is>
          <t>flights</t>
        </is>
      </c>
      <c r="E408" s="5" t="inlineStr">
        <is>
          <t>fr</t>
        </is>
      </c>
      <c r="F408" s="5" t="inlineStr">
        <is>
          <t>few-shot</t>
        </is>
      </c>
      <c r="G408" s="5" t="inlineStr">
        <is>
          <t>single_kg1</t>
        </is>
      </c>
      <c r="H408" s="5" t="inlineStr">
        <is>
          <t>single_kg1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12.52</v>
      </c>
    </row>
    <row r="409">
      <c r="A409" s="5" t="inlineStr">
        <is>
          <t>single_kg1_013</t>
        </is>
      </c>
      <c r="B409" s="5" t="n">
        <v>1</v>
      </c>
      <c r="C409" s="5" t="inlineStr">
        <is>
          <t>single_kg1</t>
        </is>
      </c>
      <c r="D409" s="5" t="inlineStr">
        <is>
          <t>flights</t>
        </is>
      </c>
      <c r="E409" s="5" t="inlineStr">
        <is>
          <t>fr</t>
        </is>
      </c>
      <c r="F409" s="5" t="inlineStr">
        <is>
          <t>cot</t>
        </is>
      </c>
      <c r="G409" s="5" t="inlineStr">
        <is>
          <t>single_kg1</t>
        </is>
      </c>
      <c r="H409" s="5" t="inlineStr">
        <is>
          <t>single_kg1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13.81</v>
      </c>
    </row>
    <row r="410">
      <c r="A410" s="5" t="inlineStr">
        <is>
          <t>single_kg1_013</t>
        </is>
      </c>
      <c r="B410" s="5" t="n">
        <v>1</v>
      </c>
      <c r="C410" s="5" t="inlineStr">
        <is>
          <t>single_kg1</t>
        </is>
      </c>
      <c r="D410" s="5" t="inlineStr">
        <is>
          <t>flights</t>
        </is>
      </c>
      <c r="E410" s="5" t="inlineStr">
        <is>
          <t>ar</t>
        </is>
      </c>
      <c r="F410" s="5" t="inlineStr">
        <is>
          <t>zero-shot</t>
        </is>
      </c>
      <c r="G410" s="5" t="inlineStr">
        <is>
          <t>single_kg1</t>
        </is>
      </c>
      <c r="H410" s="5" t="inlineStr">
        <is>
          <t>single_kg1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15.85</v>
      </c>
    </row>
    <row r="411">
      <c r="A411" s="5" t="inlineStr">
        <is>
          <t>single_kg1_013</t>
        </is>
      </c>
      <c r="B411" s="5" t="n">
        <v>1</v>
      </c>
      <c r="C411" s="5" t="inlineStr">
        <is>
          <t>single_kg1</t>
        </is>
      </c>
      <c r="D411" s="5" t="inlineStr">
        <is>
          <t>flights</t>
        </is>
      </c>
      <c r="E411" s="5" t="inlineStr">
        <is>
          <t>ar</t>
        </is>
      </c>
      <c r="F411" s="5" t="inlineStr">
        <is>
          <t>few-shot</t>
        </is>
      </c>
      <c r="G411" s="5" t="inlineStr">
        <is>
          <t>single_kg1</t>
        </is>
      </c>
      <c r="H411" s="5" t="inlineStr">
        <is>
          <t>single_kg1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15.49</v>
      </c>
    </row>
    <row r="412">
      <c r="A412" s="5" t="inlineStr">
        <is>
          <t>single_kg1_013</t>
        </is>
      </c>
      <c r="B412" s="5" t="n">
        <v>1</v>
      </c>
      <c r="C412" s="5" t="inlineStr">
        <is>
          <t>single_kg1</t>
        </is>
      </c>
      <c r="D412" s="5" t="inlineStr">
        <is>
          <t>flights</t>
        </is>
      </c>
      <c r="E412" s="5" t="inlineStr">
        <is>
          <t>ar</t>
        </is>
      </c>
      <c r="F412" s="5" t="inlineStr">
        <is>
          <t>cot</t>
        </is>
      </c>
      <c r="G412" s="5" t="inlineStr">
        <is>
          <t>single_kg1</t>
        </is>
      </c>
      <c r="H412" s="5" t="inlineStr">
        <is>
          <t>single_kg1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16.61</v>
      </c>
    </row>
    <row r="413">
      <c r="A413" s="5" t="inlineStr">
        <is>
          <t>single_kg2_010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en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23.84</v>
      </c>
    </row>
    <row r="414">
      <c r="A414" s="5" t="inlineStr">
        <is>
          <t>single_kg2_010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en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16.86</v>
      </c>
    </row>
    <row r="415">
      <c r="A415" s="5" t="inlineStr">
        <is>
          <t>single_kg2_010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en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18.04</v>
      </c>
    </row>
    <row r="416">
      <c r="A416" s="5" t="inlineStr">
        <is>
          <t>single_kg2_010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fr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19.45</v>
      </c>
    </row>
    <row r="417">
      <c r="A417" s="5" t="inlineStr">
        <is>
          <t>single_kg2_010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fr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20.96</v>
      </c>
    </row>
    <row r="418">
      <c r="A418" s="5" t="inlineStr">
        <is>
          <t>single_kg2_010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fr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22.28</v>
      </c>
    </row>
    <row r="419">
      <c r="A419" s="5" t="inlineStr">
        <is>
          <t>single_kg2_010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ar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19.59</v>
      </c>
    </row>
    <row r="420">
      <c r="A420" s="5" t="inlineStr">
        <is>
          <t>single_kg2_010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ar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20.16</v>
      </c>
    </row>
    <row r="421">
      <c r="A421" s="5" t="inlineStr">
        <is>
          <t>single_kg2_010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ar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21.71</v>
      </c>
    </row>
    <row r="422">
      <c r="A422" s="5" t="inlineStr">
        <is>
          <t>single_kg2_011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en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14.62</v>
      </c>
    </row>
    <row r="423">
      <c r="A423" s="5" t="inlineStr">
        <is>
          <t>single_kg2_011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en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11.81</v>
      </c>
    </row>
    <row r="424">
      <c r="A424" s="5" t="inlineStr">
        <is>
          <t>single_kg2_011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en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12.58</v>
      </c>
    </row>
    <row r="425">
      <c r="A425" s="5" t="inlineStr">
        <is>
          <t>single_kg2_011</t>
        </is>
      </c>
      <c r="B425" s="5" t="n">
        <v>1</v>
      </c>
      <c r="C425" s="5" t="inlineStr">
        <is>
          <t>single_kg2</t>
        </is>
      </c>
      <c r="D425" s="5" t="inlineStr">
        <is>
          <t>airports</t>
        </is>
      </c>
      <c r="E425" s="5" t="inlineStr">
        <is>
          <t>fr</t>
        </is>
      </c>
      <c r="F425" s="5" t="inlineStr">
        <is>
          <t>zero-shot</t>
        </is>
      </c>
      <c r="G425" s="5" t="inlineStr">
        <is>
          <t>single_kg2</t>
        </is>
      </c>
      <c r="H425" s="5" t="inlineStr">
        <is>
          <t>single_kg2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18.01</v>
      </c>
    </row>
    <row r="426">
      <c r="A426" s="5" t="inlineStr">
        <is>
          <t>single_kg2_011</t>
        </is>
      </c>
      <c r="B426" s="5" t="n">
        <v>1</v>
      </c>
      <c r="C426" s="5" t="inlineStr">
        <is>
          <t>single_kg2</t>
        </is>
      </c>
      <c r="D426" s="5" t="inlineStr">
        <is>
          <t>airports</t>
        </is>
      </c>
      <c r="E426" s="5" t="inlineStr">
        <is>
          <t>fr</t>
        </is>
      </c>
      <c r="F426" s="5" t="inlineStr">
        <is>
          <t>few-shot</t>
        </is>
      </c>
      <c r="G426" s="5" t="inlineStr">
        <is>
          <t>single_kg2</t>
        </is>
      </c>
      <c r="H426" s="5" t="inlineStr">
        <is>
          <t>single_kg2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14.04</v>
      </c>
    </row>
    <row r="427">
      <c r="A427" s="5" t="inlineStr">
        <is>
          <t>single_kg2_011</t>
        </is>
      </c>
      <c r="B427" s="5" t="n">
        <v>1</v>
      </c>
      <c r="C427" s="5" t="inlineStr">
        <is>
          <t>single_kg2</t>
        </is>
      </c>
      <c r="D427" s="5" t="inlineStr">
        <is>
          <t>airports</t>
        </is>
      </c>
      <c r="E427" s="5" t="inlineStr">
        <is>
          <t>fr</t>
        </is>
      </c>
      <c r="F427" s="5" t="inlineStr">
        <is>
          <t>cot</t>
        </is>
      </c>
      <c r="G427" s="5" t="inlineStr">
        <is>
          <t>single_kg2</t>
        </is>
      </c>
      <c r="H427" s="5" t="inlineStr">
        <is>
          <t>single_kg2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15.31</v>
      </c>
    </row>
    <row r="428">
      <c r="A428" s="5" t="inlineStr">
        <is>
          <t>single_kg2_011</t>
        </is>
      </c>
      <c r="B428" s="5" t="n">
        <v>1</v>
      </c>
      <c r="C428" s="5" t="inlineStr">
        <is>
          <t>single_kg2</t>
        </is>
      </c>
      <c r="D428" s="5" t="inlineStr">
        <is>
          <t>airports</t>
        </is>
      </c>
      <c r="E428" s="5" t="inlineStr">
        <is>
          <t>ar</t>
        </is>
      </c>
      <c r="F428" s="5" t="inlineStr">
        <is>
          <t>zero-shot</t>
        </is>
      </c>
      <c r="G428" s="5" t="inlineStr">
        <is>
          <t>single_kg2</t>
        </is>
      </c>
      <c r="H428" s="5" t="inlineStr">
        <is>
          <t>single_kg2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16.86</v>
      </c>
    </row>
    <row r="429">
      <c r="A429" s="5" t="inlineStr">
        <is>
          <t>single_kg2_011</t>
        </is>
      </c>
      <c r="B429" s="5" t="n">
        <v>1</v>
      </c>
      <c r="C429" s="5" t="inlineStr">
        <is>
          <t>single_kg2</t>
        </is>
      </c>
      <c r="D429" s="5" t="inlineStr">
        <is>
          <t>airports</t>
        </is>
      </c>
      <c r="E429" s="5" t="inlineStr">
        <is>
          <t>ar</t>
        </is>
      </c>
      <c r="F429" s="5" t="inlineStr">
        <is>
          <t>few-shot</t>
        </is>
      </c>
      <c r="G429" s="5" t="inlineStr">
        <is>
          <t>single_kg2</t>
        </is>
      </c>
      <c r="H429" s="5" t="inlineStr">
        <is>
          <t>single_kg2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15.21</v>
      </c>
    </row>
    <row r="430">
      <c r="A430" s="5" t="inlineStr">
        <is>
          <t>single_kg2_011</t>
        </is>
      </c>
      <c r="B430" s="5" t="n">
        <v>1</v>
      </c>
      <c r="C430" s="5" t="inlineStr">
        <is>
          <t>single_kg2</t>
        </is>
      </c>
      <c r="D430" s="5" t="inlineStr">
        <is>
          <t>airports</t>
        </is>
      </c>
      <c r="E430" s="5" t="inlineStr">
        <is>
          <t>ar</t>
        </is>
      </c>
      <c r="F430" s="5" t="inlineStr">
        <is>
          <t>cot</t>
        </is>
      </c>
      <c r="G430" s="5" t="inlineStr">
        <is>
          <t>single_kg2</t>
        </is>
      </c>
      <c r="H430" s="5" t="inlineStr">
        <is>
          <t>single_kg2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15.45</v>
      </c>
    </row>
    <row r="431">
      <c r="A431" s="5" t="inlineStr">
        <is>
          <t>single_kg2_012</t>
        </is>
      </c>
      <c r="B431" s="5" t="n">
        <v>1</v>
      </c>
      <c r="C431" s="5" t="inlineStr">
        <is>
          <t>single_kg2</t>
        </is>
      </c>
      <c r="D431" s="5" t="inlineStr">
        <is>
          <t>airports</t>
        </is>
      </c>
      <c r="E431" s="5" t="inlineStr">
        <is>
          <t>en</t>
        </is>
      </c>
      <c r="F431" s="5" t="inlineStr">
        <is>
          <t>zero-shot</t>
        </is>
      </c>
      <c r="G431" s="5" t="inlineStr">
        <is>
          <t>single_kg2</t>
        </is>
      </c>
      <c r="H431" s="5" t="inlineStr">
        <is>
          <t>single_kg2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15.33</v>
      </c>
    </row>
    <row r="432">
      <c r="A432" s="5" t="inlineStr">
        <is>
          <t>single_kg2_012</t>
        </is>
      </c>
      <c r="B432" s="5" t="n">
        <v>1</v>
      </c>
      <c r="C432" s="5" t="inlineStr">
        <is>
          <t>single_kg2</t>
        </is>
      </c>
      <c r="D432" s="5" t="inlineStr">
        <is>
          <t>airports</t>
        </is>
      </c>
      <c r="E432" s="5" t="inlineStr">
        <is>
          <t>en</t>
        </is>
      </c>
      <c r="F432" s="5" t="inlineStr">
        <is>
          <t>few-shot</t>
        </is>
      </c>
      <c r="G432" s="5" t="inlineStr">
        <is>
          <t>single_kg2</t>
        </is>
      </c>
      <c r="H432" s="5" t="inlineStr">
        <is>
          <t>single_kg2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12.63</v>
      </c>
    </row>
    <row r="433">
      <c r="A433" s="5" t="inlineStr">
        <is>
          <t>single_kg2_012</t>
        </is>
      </c>
      <c r="B433" s="5" t="n">
        <v>1</v>
      </c>
      <c r="C433" s="5" t="inlineStr">
        <is>
          <t>single_kg2</t>
        </is>
      </c>
      <c r="D433" s="5" t="inlineStr">
        <is>
          <t>airports</t>
        </is>
      </c>
      <c r="E433" s="5" t="inlineStr">
        <is>
          <t>en</t>
        </is>
      </c>
      <c r="F433" s="5" t="inlineStr">
        <is>
          <t>cot</t>
        </is>
      </c>
      <c r="G433" s="5" t="inlineStr">
        <is>
          <t>single_kg2</t>
        </is>
      </c>
      <c r="H433" s="5" t="inlineStr">
        <is>
          <t>single_kg2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13.47</v>
      </c>
    </row>
    <row r="434">
      <c r="A434" s="5" t="inlineStr">
        <is>
          <t>single_kg2_012</t>
        </is>
      </c>
      <c r="B434" s="5" t="n">
        <v>1</v>
      </c>
      <c r="C434" s="5" t="inlineStr">
        <is>
          <t>single_kg2</t>
        </is>
      </c>
      <c r="D434" s="5" t="inlineStr">
        <is>
          <t>airports</t>
        </is>
      </c>
      <c r="E434" s="5" t="inlineStr">
        <is>
          <t>fr</t>
        </is>
      </c>
      <c r="F434" s="5" t="inlineStr">
        <is>
          <t>zero-shot</t>
        </is>
      </c>
      <c r="G434" s="5" t="inlineStr">
        <is>
          <t>single_kg2</t>
        </is>
      </c>
      <c r="H434" s="5" t="inlineStr">
        <is>
          <t>single_kg2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17.07</v>
      </c>
    </row>
    <row r="435">
      <c r="A435" s="5" t="inlineStr">
        <is>
          <t>single_kg2_012</t>
        </is>
      </c>
      <c r="B435" s="5" t="n">
        <v>1</v>
      </c>
      <c r="C435" s="5" t="inlineStr">
        <is>
          <t>single_kg2</t>
        </is>
      </c>
      <c r="D435" s="5" t="inlineStr">
        <is>
          <t>airports</t>
        </is>
      </c>
      <c r="E435" s="5" t="inlineStr">
        <is>
          <t>fr</t>
        </is>
      </c>
      <c r="F435" s="5" t="inlineStr">
        <is>
          <t>few-shot</t>
        </is>
      </c>
      <c r="G435" s="5" t="inlineStr">
        <is>
          <t>single_kg2</t>
        </is>
      </c>
      <c r="H435" s="5" t="inlineStr">
        <is>
          <t>single_kg2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15.06</v>
      </c>
    </row>
    <row r="436">
      <c r="A436" s="5" t="inlineStr">
        <is>
          <t>single_kg2_012</t>
        </is>
      </c>
      <c r="B436" s="5" t="n">
        <v>1</v>
      </c>
      <c r="C436" s="5" t="inlineStr">
        <is>
          <t>single_kg2</t>
        </is>
      </c>
      <c r="D436" s="5" t="inlineStr">
        <is>
          <t>airports</t>
        </is>
      </c>
      <c r="E436" s="5" t="inlineStr">
        <is>
          <t>fr</t>
        </is>
      </c>
      <c r="F436" s="5" t="inlineStr">
        <is>
          <t>cot</t>
        </is>
      </c>
      <c r="G436" s="5" t="inlineStr">
        <is>
          <t>single_kg2</t>
        </is>
      </c>
      <c r="H436" s="5" t="inlineStr">
        <is>
          <t>single_kg2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15.64</v>
      </c>
    </row>
    <row r="437">
      <c r="A437" s="5" t="inlineStr">
        <is>
          <t>single_kg2_012</t>
        </is>
      </c>
      <c r="B437" s="5" t="n">
        <v>1</v>
      </c>
      <c r="C437" s="5" t="inlineStr">
        <is>
          <t>single_kg2</t>
        </is>
      </c>
      <c r="D437" s="5" t="inlineStr">
        <is>
          <t>airports</t>
        </is>
      </c>
      <c r="E437" s="5" t="inlineStr">
        <is>
          <t>ar</t>
        </is>
      </c>
      <c r="F437" s="5" t="inlineStr">
        <is>
          <t>zero-shot</t>
        </is>
      </c>
      <c r="G437" s="5" t="inlineStr">
        <is>
          <t>single_kg2</t>
        </is>
      </c>
      <c r="H437" s="5" t="inlineStr">
        <is>
          <t>single_kg2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14.04</v>
      </c>
    </row>
    <row r="438">
      <c r="A438" s="5" t="inlineStr">
        <is>
          <t>single_kg2_012</t>
        </is>
      </c>
      <c r="B438" s="5" t="n">
        <v>1</v>
      </c>
      <c r="C438" s="5" t="inlineStr">
        <is>
          <t>single_kg2</t>
        </is>
      </c>
      <c r="D438" s="5" t="inlineStr">
        <is>
          <t>airports</t>
        </is>
      </c>
      <c r="E438" s="5" t="inlineStr">
        <is>
          <t>ar</t>
        </is>
      </c>
      <c r="F438" s="5" t="inlineStr">
        <is>
          <t>few-shot</t>
        </is>
      </c>
      <c r="G438" s="5" t="inlineStr">
        <is>
          <t>single_kg2</t>
        </is>
      </c>
      <c r="H438" s="5" t="inlineStr">
        <is>
          <t>single_kg2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14.7</v>
      </c>
    </row>
    <row r="439">
      <c r="A439" s="5" t="inlineStr">
        <is>
          <t>single_kg2_012</t>
        </is>
      </c>
      <c r="B439" s="5" t="n">
        <v>1</v>
      </c>
      <c r="C439" s="5" t="inlineStr">
        <is>
          <t>single_kg2</t>
        </is>
      </c>
      <c r="D439" s="5" t="inlineStr">
        <is>
          <t>airports</t>
        </is>
      </c>
      <c r="E439" s="5" t="inlineStr">
        <is>
          <t>ar</t>
        </is>
      </c>
      <c r="F439" s="5" t="inlineStr">
        <is>
          <t>cot</t>
        </is>
      </c>
      <c r="G439" s="5" t="inlineStr">
        <is>
          <t>single_kg2</t>
        </is>
      </c>
      <c r="H439" s="5" t="inlineStr">
        <is>
          <t>single_kg2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15.38</v>
      </c>
    </row>
    <row r="440">
      <c r="A440" s="5" t="inlineStr">
        <is>
          <t>single_kg3_005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en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10.94</v>
      </c>
    </row>
    <row r="441">
      <c r="A441" s="5" t="inlineStr">
        <is>
          <t>single_kg3_005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en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9.529999999999999</v>
      </c>
    </row>
    <row r="442">
      <c r="A442" s="5" t="inlineStr">
        <is>
          <t>single_kg3_005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en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9.91</v>
      </c>
    </row>
    <row r="443">
      <c r="A443" s="5" t="inlineStr">
        <is>
          <t>single_kg3_005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fr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9.5</v>
      </c>
    </row>
    <row r="444">
      <c r="A444" s="5" t="inlineStr">
        <is>
          <t>single_kg3_005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fr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10.83</v>
      </c>
    </row>
    <row r="445">
      <c r="A445" s="5" t="inlineStr">
        <is>
          <t>single_kg3_005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fr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10.89</v>
      </c>
    </row>
    <row r="446">
      <c r="A446" s="5" t="inlineStr">
        <is>
          <t>single_kg3_005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ar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9.92</v>
      </c>
    </row>
    <row r="447">
      <c r="A447" s="5" t="inlineStr">
        <is>
          <t>single_kg3_005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ar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12.23</v>
      </c>
    </row>
    <row r="448">
      <c r="A448" s="5" t="inlineStr">
        <is>
          <t>single_kg3_005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ar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11.68</v>
      </c>
    </row>
    <row r="449">
      <c r="A449" s="5" t="inlineStr">
        <is>
          <t>single_kg3_006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en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12.74</v>
      </c>
    </row>
    <row r="450">
      <c r="A450" s="5" t="inlineStr">
        <is>
          <t>single_kg3_006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en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10.81</v>
      </c>
    </row>
    <row r="451">
      <c r="A451" s="5" t="inlineStr">
        <is>
          <t>single_kg3_006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en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11.19</v>
      </c>
    </row>
    <row r="452">
      <c r="A452" s="5" t="inlineStr">
        <is>
          <t>single_kg3_006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fr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1</v>
      </c>
      <c r="N452" s="5" t="n">
        <v>1</v>
      </c>
      <c r="O452" s="5" t="n">
        <v>11.05</v>
      </c>
    </row>
    <row r="453">
      <c r="A453" s="5" t="inlineStr">
        <is>
          <t>single_kg3_006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fr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1</v>
      </c>
      <c r="N453" s="5" t="n">
        <v>1</v>
      </c>
      <c r="O453" s="5" t="n">
        <v>11.8</v>
      </c>
    </row>
    <row r="454">
      <c r="A454" s="5" t="inlineStr">
        <is>
          <t>single_kg3_006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fr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1</v>
      </c>
      <c r="N454" s="5" t="n">
        <v>1</v>
      </c>
      <c r="O454" s="5" t="n">
        <v>12.18</v>
      </c>
    </row>
    <row r="455">
      <c r="A455" s="5" t="inlineStr">
        <is>
          <t>single_kg3_006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ar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1</v>
      </c>
      <c r="N455" s="5" t="n">
        <v>1</v>
      </c>
      <c r="O455" s="5" t="n">
        <v>11.04</v>
      </c>
    </row>
    <row r="456">
      <c r="A456" s="5" t="inlineStr">
        <is>
          <t>single_kg3_006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ar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1</v>
      </c>
      <c r="N456" s="5" t="n">
        <v>1</v>
      </c>
      <c r="O456" s="5" t="n">
        <v>12.38</v>
      </c>
    </row>
    <row r="457">
      <c r="A457" s="5" t="inlineStr">
        <is>
          <t>single_kg3_006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ar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1</v>
      </c>
      <c r="N457" s="5" t="n">
        <v>1</v>
      </c>
      <c r="O457" s="5" t="n">
        <v>12.15</v>
      </c>
    </row>
    <row r="458">
      <c r="A458" s="5" t="inlineStr">
        <is>
          <t>single_kg3_007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en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1</v>
      </c>
      <c r="N458" s="5" t="n">
        <v>1</v>
      </c>
      <c r="O458" s="5" t="n">
        <v>10.54</v>
      </c>
    </row>
    <row r="459">
      <c r="A459" s="5" t="inlineStr">
        <is>
          <t>single_kg3_007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en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1</v>
      </c>
      <c r="N459" s="5" t="n">
        <v>1</v>
      </c>
      <c r="O459" s="5" t="n">
        <v>9.609999999999999</v>
      </c>
    </row>
    <row r="460">
      <c r="A460" s="5" t="inlineStr">
        <is>
          <t>single_kg3_007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en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1</v>
      </c>
      <c r="N460" s="5" t="n">
        <v>1</v>
      </c>
      <c r="O460" s="5" t="n">
        <v>10.05</v>
      </c>
    </row>
    <row r="461">
      <c r="A461" s="5" t="inlineStr">
        <is>
          <t>single_kg3_007</t>
        </is>
      </c>
      <c r="B461" s="5" t="n">
        <v>1</v>
      </c>
      <c r="C461" s="5" t="inlineStr">
        <is>
          <t>single_kg3</t>
        </is>
      </c>
      <c r="D461" s="5" t="inlineStr">
        <is>
          <t>university</t>
        </is>
      </c>
      <c r="E461" s="5" t="inlineStr">
        <is>
          <t>fr</t>
        </is>
      </c>
      <c r="F461" s="5" t="inlineStr">
        <is>
          <t>zero-shot</t>
        </is>
      </c>
      <c r="G461" s="5" t="inlineStr">
        <is>
          <t>single_kg3</t>
        </is>
      </c>
      <c r="H461" s="5" t="inlineStr">
        <is>
          <t>single_kg3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1</v>
      </c>
      <c r="N461" s="5" t="n">
        <v>1</v>
      </c>
      <c r="O461" s="5" t="n">
        <v>11.31</v>
      </c>
    </row>
    <row r="462">
      <c r="A462" s="5" t="inlineStr">
        <is>
          <t>single_kg3_007</t>
        </is>
      </c>
      <c r="B462" s="5" t="n">
        <v>1</v>
      </c>
      <c r="C462" s="5" t="inlineStr">
        <is>
          <t>single_kg3</t>
        </is>
      </c>
      <c r="D462" s="5" t="inlineStr">
        <is>
          <t>university</t>
        </is>
      </c>
      <c r="E462" s="5" t="inlineStr">
        <is>
          <t>fr</t>
        </is>
      </c>
      <c r="F462" s="5" t="inlineStr">
        <is>
          <t>few-shot</t>
        </is>
      </c>
      <c r="G462" s="5" t="inlineStr">
        <is>
          <t>single_kg3</t>
        </is>
      </c>
      <c r="H462" s="5" t="inlineStr">
        <is>
          <t>single_kg3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1</v>
      </c>
      <c r="N462" s="5" t="n">
        <v>1</v>
      </c>
      <c r="O462" s="5" t="n">
        <v>10.67</v>
      </c>
    </row>
    <row r="463">
      <c r="A463" s="5" t="inlineStr">
        <is>
          <t>single_kg3_007</t>
        </is>
      </c>
      <c r="B463" s="5" t="n">
        <v>1</v>
      </c>
      <c r="C463" s="5" t="inlineStr">
        <is>
          <t>single_kg3</t>
        </is>
      </c>
      <c r="D463" s="5" t="inlineStr">
        <is>
          <t>university</t>
        </is>
      </c>
      <c r="E463" s="5" t="inlineStr">
        <is>
          <t>fr</t>
        </is>
      </c>
      <c r="F463" s="5" t="inlineStr">
        <is>
          <t>cot</t>
        </is>
      </c>
      <c r="G463" s="5" t="inlineStr">
        <is>
          <t>single_kg3</t>
        </is>
      </c>
      <c r="H463" s="5" t="inlineStr">
        <is>
          <t>single_kg3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1</v>
      </c>
      <c r="N463" s="5" t="n">
        <v>1</v>
      </c>
      <c r="O463" s="5" t="n">
        <v>10.93</v>
      </c>
    </row>
    <row r="464">
      <c r="A464" s="5" t="inlineStr">
        <is>
          <t>single_kg3_007</t>
        </is>
      </c>
      <c r="B464" s="5" t="n">
        <v>1</v>
      </c>
      <c r="C464" s="5" t="inlineStr">
        <is>
          <t>single_kg3</t>
        </is>
      </c>
      <c r="D464" s="5" t="inlineStr">
        <is>
          <t>university</t>
        </is>
      </c>
      <c r="E464" s="5" t="inlineStr">
        <is>
          <t>ar</t>
        </is>
      </c>
      <c r="F464" s="5" t="inlineStr">
        <is>
          <t>zero-shot</t>
        </is>
      </c>
      <c r="G464" s="5" t="inlineStr">
        <is>
          <t>single_kg3</t>
        </is>
      </c>
      <c r="H464" s="5" t="inlineStr">
        <is>
          <t>single_kg3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1</v>
      </c>
      <c r="N464" s="5" t="n">
        <v>1</v>
      </c>
      <c r="O464" s="5" t="n">
        <v>12.31</v>
      </c>
    </row>
    <row r="465">
      <c r="A465" s="5" t="inlineStr">
        <is>
          <t>single_kg3_007</t>
        </is>
      </c>
      <c r="B465" s="5" t="n">
        <v>1</v>
      </c>
      <c r="C465" s="5" t="inlineStr">
        <is>
          <t>single_kg3</t>
        </is>
      </c>
      <c r="D465" s="5" t="inlineStr">
        <is>
          <t>university</t>
        </is>
      </c>
      <c r="E465" s="5" t="inlineStr">
        <is>
          <t>ar</t>
        </is>
      </c>
      <c r="F465" s="5" t="inlineStr">
        <is>
          <t>few-shot</t>
        </is>
      </c>
      <c r="G465" s="5" t="inlineStr">
        <is>
          <t>single_kg3</t>
        </is>
      </c>
      <c r="H465" s="5" t="inlineStr">
        <is>
          <t>single_kg3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1</v>
      </c>
      <c r="N465" s="5" t="n">
        <v>1</v>
      </c>
      <c r="O465" s="5" t="n">
        <v>11.87</v>
      </c>
    </row>
    <row r="466">
      <c r="A466" s="5" t="inlineStr">
        <is>
          <t>single_kg3_007</t>
        </is>
      </c>
      <c r="B466" s="5" t="n">
        <v>1</v>
      </c>
      <c r="C466" s="5" t="inlineStr">
        <is>
          <t>single_kg3</t>
        </is>
      </c>
      <c r="D466" s="5" t="inlineStr">
        <is>
          <t>university</t>
        </is>
      </c>
      <c r="E466" s="5" t="inlineStr">
        <is>
          <t>ar</t>
        </is>
      </c>
      <c r="F466" s="5" t="inlineStr">
        <is>
          <t>cot</t>
        </is>
      </c>
      <c r="G466" s="5" t="inlineStr">
        <is>
          <t>single_kg3</t>
        </is>
      </c>
      <c r="H466" s="5" t="inlineStr">
        <is>
          <t>single_kg3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1</v>
      </c>
      <c r="N466" s="5" t="n">
        <v>1</v>
      </c>
      <c r="O466" s="5" t="n">
        <v>11.89</v>
      </c>
    </row>
    <row r="467">
      <c r="A467" s="5" t="inlineStr">
        <is>
          <t>single_kg3_008</t>
        </is>
      </c>
      <c r="B467" s="5" t="n">
        <v>1</v>
      </c>
      <c r="C467" s="5" t="inlineStr">
        <is>
          <t>single_kg3</t>
        </is>
      </c>
      <c r="D467" s="5" t="inlineStr">
        <is>
          <t>university</t>
        </is>
      </c>
      <c r="E467" s="5" t="inlineStr">
        <is>
          <t>en</t>
        </is>
      </c>
      <c r="F467" s="5" t="inlineStr">
        <is>
          <t>zero-shot</t>
        </is>
      </c>
      <c r="G467" s="5" t="inlineStr">
        <is>
          <t>single_kg3</t>
        </is>
      </c>
      <c r="H467" s="5" t="inlineStr">
        <is>
          <t>single_kg3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0</v>
      </c>
      <c r="N467" s="5" t="n">
        <v>0.5</v>
      </c>
      <c r="O467" s="5" t="n">
        <v>9.84</v>
      </c>
    </row>
    <row r="468">
      <c r="A468" s="5" t="inlineStr">
        <is>
          <t>single_kg3_008</t>
        </is>
      </c>
      <c r="B468" s="5" t="n">
        <v>1</v>
      </c>
      <c r="C468" s="5" t="inlineStr">
        <is>
          <t>single_kg3</t>
        </is>
      </c>
      <c r="D468" s="5" t="inlineStr">
        <is>
          <t>university</t>
        </is>
      </c>
      <c r="E468" s="5" t="inlineStr">
        <is>
          <t>en</t>
        </is>
      </c>
      <c r="F468" s="5" t="inlineStr">
        <is>
          <t>few-shot</t>
        </is>
      </c>
      <c r="G468" s="5" t="inlineStr">
        <is>
          <t>single_kg3</t>
        </is>
      </c>
      <c r="H468" s="5" t="inlineStr">
        <is>
          <t>single_kg3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0</v>
      </c>
      <c r="N468" s="5" t="n">
        <v>0.5</v>
      </c>
      <c r="O468" s="5" t="n">
        <v>9.140000000000001</v>
      </c>
    </row>
    <row r="469">
      <c r="A469" s="5" t="inlineStr">
        <is>
          <t>single_kg3_008</t>
        </is>
      </c>
      <c r="B469" s="5" t="n">
        <v>1</v>
      </c>
      <c r="C469" s="5" t="inlineStr">
        <is>
          <t>single_kg3</t>
        </is>
      </c>
      <c r="D469" s="5" t="inlineStr">
        <is>
          <t>university</t>
        </is>
      </c>
      <c r="E469" s="5" t="inlineStr">
        <is>
          <t>en</t>
        </is>
      </c>
      <c r="F469" s="5" t="inlineStr">
        <is>
          <t>cot</t>
        </is>
      </c>
      <c r="G469" s="5" t="inlineStr">
        <is>
          <t>single_kg3</t>
        </is>
      </c>
      <c r="H469" s="5" t="inlineStr">
        <is>
          <t>single_kg3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0</v>
      </c>
      <c r="N469" s="5" t="n">
        <v>0.5</v>
      </c>
      <c r="O469" s="5" t="n">
        <v>9.5</v>
      </c>
    </row>
    <row r="470">
      <c r="A470" s="5" t="inlineStr">
        <is>
          <t>single_kg3_008</t>
        </is>
      </c>
      <c r="B470" s="5" t="n">
        <v>1</v>
      </c>
      <c r="C470" s="5" t="inlineStr">
        <is>
          <t>single_kg3</t>
        </is>
      </c>
      <c r="D470" s="5" t="inlineStr">
        <is>
          <t>university</t>
        </is>
      </c>
      <c r="E470" s="5" t="inlineStr">
        <is>
          <t>fr</t>
        </is>
      </c>
      <c r="F470" s="5" t="inlineStr">
        <is>
          <t>zero-shot</t>
        </is>
      </c>
      <c r="G470" s="5" t="inlineStr">
        <is>
          <t>single_kg3</t>
        </is>
      </c>
      <c r="H470" s="5" t="inlineStr">
        <is>
          <t>single_kg3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0</v>
      </c>
      <c r="N470" s="5" t="n">
        <v>0.5</v>
      </c>
      <c r="O470" s="5" t="n">
        <v>10.72</v>
      </c>
    </row>
    <row r="471">
      <c r="A471" s="5" t="inlineStr">
        <is>
          <t>single_kg3_008</t>
        </is>
      </c>
      <c r="B471" s="5" t="n">
        <v>1</v>
      </c>
      <c r="C471" s="5" t="inlineStr">
        <is>
          <t>single_kg3</t>
        </is>
      </c>
      <c r="D471" s="5" t="inlineStr">
        <is>
          <t>university</t>
        </is>
      </c>
      <c r="E471" s="5" t="inlineStr">
        <is>
          <t>fr</t>
        </is>
      </c>
      <c r="F471" s="5" t="inlineStr">
        <is>
          <t>few-shot</t>
        </is>
      </c>
      <c r="G471" s="5" t="inlineStr">
        <is>
          <t>single_kg3</t>
        </is>
      </c>
      <c r="H471" s="5" t="inlineStr">
        <is>
          <t>single_kg3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0</v>
      </c>
      <c r="N471" s="5" t="n">
        <v>0.5</v>
      </c>
      <c r="O471" s="5" t="n">
        <v>10.41</v>
      </c>
    </row>
    <row r="472">
      <c r="A472" s="5" t="inlineStr">
        <is>
          <t>single_kg3_008</t>
        </is>
      </c>
      <c r="B472" s="5" t="n">
        <v>1</v>
      </c>
      <c r="C472" s="5" t="inlineStr">
        <is>
          <t>single_kg3</t>
        </is>
      </c>
      <c r="D472" s="5" t="inlineStr">
        <is>
          <t>university</t>
        </is>
      </c>
      <c r="E472" s="5" t="inlineStr">
        <is>
          <t>fr</t>
        </is>
      </c>
      <c r="F472" s="5" t="inlineStr">
        <is>
          <t>cot</t>
        </is>
      </c>
      <c r="G472" s="5" t="inlineStr">
        <is>
          <t>single_kg3</t>
        </is>
      </c>
      <c r="H472" s="5" t="inlineStr">
        <is>
          <t>single_kg3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0</v>
      </c>
      <c r="N472" s="5" t="n">
        <v>0.5</v>
      </c>
      <c r="O472" s="5" t="n">
        <v>10.54</v>
      </c>
    </row>
    <row r="473">
      <c r="A473" s="5" t="inlineStr">
        <is>
          <t>single_kg3_008</t>
        </is>
      </c>
      <c r="B473" s="5" t="n">
        <v>1</v>
      </c>
      <c r="C473" s="5" t="inlineStr">
        <is>
          <t>single_kg3</t>
        </is>
      </c>
      <c r="D473" s="5" t="inlineStr">
        <is>
          <t>university</t>
        </is>
      </c>
      <c r="E473" s="5" t="inlineStr">
        <is>
          <t>ar</t>
        </is>
      </c>
      <c r="F473" s="5" t="inlineStr">
        <is>
          <t>zero-shot</t>
        </is>
      </c>
      <c r="G473" s="5" t="inlineStr">
        <is>
          <t>single_kg3</t>
        </is>
      </c>
      <c r="H473" s="5" t="inlineStr">
        <is>
          <t>single_kg3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0</v>
      </c>
      <c r="N473" s="5" t="n">
        <v>0.5</v>
      </c>
      <c r="O473" s="5" t="n">
        <v>11.19</v>
      </c>
    </row>
    <row r="474">
      <c r="A474" s="5" t="inlineStr">
        <is>
          <t>single_kg3_008</t>
        </is>
      </c>
      <c r="B474" s="5" t="n">
        <v>1</v>
      </c>
      <c r="C474" s="5" t="inlineStr">
        <is>
          <t>single_kg3</t>
        </is>
      </c>
      <c r="D474" s="5" t="inlineStr">
        <is>
          <t>university</t>
        </is>
      </c>
      <c r="E474" s="5" t="inlineStr">
        <is>
          <t>ar</t>
        </is>
      </c>
      <c r="F474" s="5" t="inlineStr">
        <is>
          <t>few-shot</t>
        </is>
      </c>
      <c r="G474" s="5" t="inlineStr">
        <is>
          <t>single_kg3</t>
        </is>
      </c>
      <c r="H474" s="5" t="inlineStr">
        <is>
          <t>single_kg3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0</v>
      </c>
      <c r="N474" s="5" t="n">
        <v>0.5</v>
      </c>
      <c r="O474" s="5" t="n">
        <v>10.94</v>
      </c>
    </row>
    <row r="475">
      <c r="A475" s="5" t="inlineStr">
        <is>
          <t>single_kg3_008</t>
        </is>
      </c>
      <c r="B475" s="5" t="n">
        <v>1</v>
      </c>
      <c r="C475" s="5" t="inlineStr">
        <is>
          <t>single_kg3</t>
        </is>
      </c>
      <c r="D475" s="5" t="inlineStr">
        <is>
          <t>university</t>
        </is>
      </c>
      <c r="E475" s="5" t="inlineStr">
        <is>
          <t>ar</t>
        </is>
      </c>
      <c r="F475" s="5" t="inlineStr">
        <is>
          <t>cot</t>
        </is>
      </c>
      <c r="G475" s="5" t="inlineStr">
        <is>
          <t>single_kg3</t>
        </is>
      </c>
      <c r="H475" s="5" t="inlineStr">
        <is>
          <t>single_kg3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0</v>
      </c>
      <c r="N475" s="5" t="n">
        <v>0.5</v>
      </c>
      <c r="O475" s="5" t="n">
        <v>11.14</v>
      </c>
    </row>
    <row r="476">
      <c r="A476" s="5" t="inlineStr">
        <is>
          <t>cross_kg_013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en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18.59</v>
      </c>
    </row>
    <row r="477">
      <c r="A477" s="5" t="inlineStr">
        <is>
          <t>cross_kg_013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en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13.33</v>
      </c>
    </row>
    <row r="478">
      <c r="A478" s="5" t="inlineStr">
        <is>
          <t>cross_kg_013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en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13.93</v>
      </c>
    </row>
    <row r="479">
      <c r="A479" s="5" t="inlineStr">
        <is>
          <t>cross_kg_013</t>
        </is>
      </c>
      <c r="B479" s="5" t="n">
        <v>1</v>
      </c>
      <c r="C479" s="5" t="inlineStr">
        <is>
          <t>cross_kg</t>
        </is>
      </c>
      <c r="D479" s="5" t="inlineStr">
        <is>
          <t>cross</t>
        </is>
      </c>
      <c r="E479" s="5" t="inlineStr">
        <is>
          <t>fr</t>
        </is>
      </c>
      <c r="F479" s="5" t="inlineStr">
        <is>
          <t>zero-shot</t>
        </is>
      </c>
      <c r="G479" s="5" t="inlineStr">
        <is>
          <t>cross_kg</t>
        </is>
      </c>
      <c r="H479" s="5" t="inlineStr">
        <is>
          <t>cross_kg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17.62</v>
      </c>
    </row>
    <row r="480">
      <c r="A480" s="5" t="inlineStr">
        <is>
          <t>cross_kg_013</t>
        </is>
      </c>
      <c r="B480" s="5" t="n">
        <v>1</v>
      </c>
      <c r="C480" s="5" t="inlineStr">
        <is>
          <t>cross_kg</t>
        </is>
      </c>
      <c r="D480" s="5" t="inlineStr">
        <is>
          <t>cross</t>
        </is>
      </c>
      <c r="E480" s="5" t="inlineStr">
        <is>
          <t>fr</t>
        </is>
      </c>
      <c r="F480" s="5" t="inlineStr">
        <is>
          <t>few-shot</t>
        </is>
      </c>
      <c r="G480" s="5" t="inlineStr">
        <is>
          <t>cross_kg</t>
        </is>
      </c>
      <c r="H480" s="5" t="inlineStr">
        <is>
          <t>cross_kg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14.86</v>
      </c>
    </row>
    <row r="481">
      <c r="A481" s="5" t="inlineStr">
        <is>
          <t>cross_kg_013</t>
        </is>
      </c>
      <c r="B481" s="5" t="n">
        <v>1</v>
      </c>
      <c r="C481" s="5" t="inlineStr">
        <is>
          <t>cross_kg</t>
        </is>
      </c>
      <c r="D481" s="5" t="inlineStr">
        <is>
          <t>cross</t>
        </is>
      </c>
      <c r="E481" s="5" t="inlineStr">
        <is>
          <t>fr</t>
        </is>
      </c>
      <c r="F481" s="5" t="inlineStr">
        <is>
          <t>cot</t>
        </is>
      </c>
      <c r="G481" s="5" t="inlineStr">
        <is>
          <t>cross_kg</t>
        </is>
      </c>
      <c r="H481" s="5" t="inlineStr">
        <is>
          <t>cross_kg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14.99</v>
      </c>
    </row>
    <row r="482">
      <c r="A482" s="5" t="inlineStr">
        <is>
          <t>cross_kg_013</t>
        </is>
      </c>
      <c r="B482" s="5" t="n">
        <v>1</v>
      </c>
      <c r="C482" s="5" t="inlineStr">
        <is>
          <t>cross_kg</t>
        </is>
      </c>
      <c r="D482" s="5" t="inlineStr">
        <is>
          <t>cross</t>
        </is>
      </c>
      <c r="E482" s="5" t="inlineStr">
        <is>
          <t>ar</t>
        </is>
      </c>
      <c r="F482" s="5" t="inlineStr">
        <is>
          <t>zero-shot</t>
        </is>
      </c>
      <c r="G482" s="5" t="inlineStr">
        <is>
          <t>cross_kg</t>
        </is>
      </c>
      <c r="H482" s="5" t="inlineStr">
        <is>
          <t>cross_kg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15.31</v>
      </c>
    </row>
    <row r="483">
      <c r="A483" s="5" t="inlineStr">
        <is>
          <t>cross_kg_013</t>
        </is>
      </c>
      <c r="B483" s="5" t="n">
        <v>1</v>
      </c>
      <c r="C483" s="5" t="inlineStr">
        <is>
          <t>cross_kg</t>
        </is>
      </c>
      <c r="D483" s="5" t="inlineStr">
        <is>
          <t>cross</t>
        </is>
      </c>
      <c r="E483" s="5" t="inlineStr">
        <is>
          <t>ar</t>
        </is>
      </c>
      <c r="F483" s="5" t="inlineStr">
        <is>
          <t>few-shot</t>
        </is>
      </c>
      <c r="G483" s="5" t="inlineStr">
        <is>
          <t>cross_kg</t>
        </is>
      </c>
      <c r="H483" s="5" t="inlineStr">
        <is>
          <t>cross_kg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12.51</v>
      </c>
    </row>
    <row r="484">
      <c r="A484" s="5" t="inlineStr">
        <is>
          <t>cross_kg_013</t>
        </is>
      </c>
      <c r="B484" s="5" t="n">
        <v>1</v>
      </c>
      <c r="C484" s="5" t="inlineStr">
        <is>
          <t>cross_kg</t>
        </is>
      </c>
      <c r="D484" s="5" t="inlineStr">
        <is>
          <t>cross</t>
        </is>
      </c>
      <c r="E484" s="5" t="inlineStr">
        <is>
          <t>ar</t>
        </is>
      </c>
      <c r="F484" s="5" t="inlineStr">
        <is>
          <t>cot</t>
        </is>
      </c>
      <c r="G484" s="5" t="inlineStr">
        <is>
          <t>cross_kg</t>
        </is>
      </c>
      <c r="H484" s="5" t="inlineStr">
        <is>
          <t>cross_kg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13.5</v>
      </c>
    </row>
    <row r="485">
      <c r="A485" s="5" t="inlineStr">
        <is>
          <t>cross_kg_014</t>
        </is>
      </c>
      <c r="B485" s="5" t="n">
        <v>1</v>
      </c>
      <c r="C485" s="5" t="inlineStr">
        <is>
          <t>cross_kg</t>
        </is>
      </c>
      <c r="D485" s="5" t="inlineStr">
        <is>
          <t>cross</t>
        </is>
      </c>
      <c r="E485" s="5" t="inlineStr">
        <is>
          <t>en</t>
        </is>
      </c>
      <c r="F485" s="5" t="inlineStr">
        <is>
          <t>zero-shot</t>
        </is>
      </c>
      <c r="G485" s="5" t="inlineStr">
        <is>
          <t>cross_kg</t>
        </is>
      </c>
      <c r="H485" s="5" t="inlineStr">
        <is>
          <t>cross_kg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16.83</v>
      </c>
    </row>
    <row r="486">
      <c r="A486" s="5" t="inlineStr">
        <is>
          <t>cross_kg_014</t>
        </is>
      </c>
      <c r="B486" s="5" t="n">
        <v>1</v>
      </c>
      <c r="C486" s="5" t="inlineStr">
        <is>
          <t>cross_kg</t>
        </is>
      </c>
      <c r="D486" s="5" t="inlineStr">
        <is>
          <t>cross</t>
        </is>
      </c>
      <c r="E486" s="5" t="inlineStr">
        <is>
          <t>en</t>
        </is>
      </c>
      <c r="F486" s="5" t="inlineStr">
        <is>
          <t>few-shot</t>
        </is>
      </c>
      <c r="G486" s="5" t="inlineStr">
        <is>
          <t>cross_kg</t>
        </is>
      </c>
      <c r="H486" s="5" t="inlineStr">
        <is>
          <t>cross_kg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14.57</v>
      </c>
    </row>
    <row r="487">
      <c r="A487" s="5" t="inlineStr">
        <is>
          <t>cross_kg_014</t>
        </is>
      </c>
      <c r="B487" s="5" t="n">
        <v>1</v>
      </c>
      <c r="C487" s="5" t="inlineStr">
        <is>
          <t>cross_kg</t>
        </is>
      </c>
      <c r="D487" s="5" t="inlineStr">
        <is>
          <t>cross</t>
        </is>
      </c>
      <c r="E487" s="5" t="inlineStr">
        <is>
          <t>en</t>
        </is>
      </c>
      <c r="F487" s="5" t="inlineStr">
        <is>
          <t>cot</t>
        </is>
      </c>
      <c r="G487" s="5" t="inlineStr">
        <is>
          <t>cross_kg</t>
        </is>
      </c>
      <c r="H487" s="5" t="inlineStr">
        <is>
          <t>cross_kg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15.62</v>
      </c>
    </row>
    <row r="488">
      <c r="A488" s="5" t="inlineStr">
        <is>
          <t>cross_kg_014</t>
        </is>
      </c>
      <c r="B488" s="5" t="n">
        <v>1</v>
      </c>
      <c r="C488" s="5" t="inlineStr">
        <is>
          <t>cross_kg</t>
        </is>
      </c>
      <c r="D488" s="5" t="inlineStr">
        <is>
          <t>cross</t>
        </is>
      </c>
      <c r="E488" s="5" t="inlineStr">
        <is>
          <t>fr</t>
        </is>
      </c>
      <c r="F488" s="5" t="inlineStr">
        <is>
          <t>zero-shot</t>
        </is>
      </c>
      <c r="G488" s="5" t="inlineStr">
        <is>
          <t>cross_kg</t>
        </is>
      </c>
      <c r="H488" s="5" t="inlineStr">
        <is>
          <t>cross_kg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17.75</v>
      </c>
    </row>
    <row r="489">
      <c r="A489" s="5" t="inlineStr">
        <is>
          <t>cross_kg_014</t>
        </is>
      </c>
      <c r="B489" s="5" t="n">
        <v>1</v>
      </c>
      <c r="C489" s="5" t="inlineStr">
        <is>
          <t>cross_kg</t>
        </is>
      </c>
      <c r="D489" s="5" t="inlineStr">
        <is>
          <t>cross</t>
        </is>
      </c>
      <c r="E489" s="5" t="inlineStr">
        <is>
          <t>fr</t>
        </is>
      </c>
      <c r="F489" s="5" t="inlineStr">
        <is>
          <t>few-shot</t>
        </is>
      </c>
      <c r="G489" s="5" t="inlineStr">
        <is>
          <t>cross_kg</t>
        </is>
      </c>
      <c r="H489" s="5" t="inlineStr">
        <is>
          <t>cross_kg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15.66</v>
      </c>
    </row>
    <row r="490">
      <c r="A490" s="5" t="inlineStr">
        <is>
          <t>cross_kg_014</t>
        </is>
      </c>
      <c r="B490" s="5" t="n">
        <v>1</v>
      </c>
      <c r="C490" s="5" t="inlineStr">
        <is>
          <t>cross_kg</t>
        </is>
      </c>
      <c r="D490" s="5" t="inlineStr">
        <is>
          <t>cross</t>
        </is>
      </c>
      <c r="E490" s="5" t="inlineStr">
        <is>
          <t>fr</t>
        </is>
      </c>
      <c r="F490" s="5" t="inlineStr">
        <is>
          <t>cot</t>
        </is>
      </c>
      <c r="G490" s="5" t="inlineStr">
        <is>
          <t>cross_kg</t>
        </is>
      </c>
      <c r="H490" s="5" t="inlineStr">
        <is>
          <t>cross_kg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15.73</v>
      </c>
    </row>
    <row r="491">
      <c r="A491" s="5" t="inlineStr">
        <is>
          <t>cross_kg_014</t>
        </is>
      </c>
      <c r="B491" s="5" t="n">
        <v>1</v>
      </c>
      <c r="C491" s="5" t="inlineStr">
        <is>
          <t>cross_kg</t>
        </is>
      </c>
      <c r="D491" s="5" t="inlineStr">
        <is>
          <t>cross</t>
        </is>
      </c>
      <c r="E491" s="5" t="inlineStr">
        <is>
          <t>ar</t>
        </is>
      </c>
      <c r="F491" s="5" t="inlineStr">
        <is>
          <t>zero-shot</t>
        </is>
      </c>
      <c r="G491" s="5" t="inlineStr">
        <is>
          <t>cross_kg</t>
        </is>
      </c>
      <c r="H491" s="5" t="inlineStr">
        <is>
          <t>cross_kg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17.51</v>
      </c>
    </row>
    <row r="492">
      <c r="A492" s="5" t="inlineStr">
        <is>
          <t>cross_kg_014</t>
        </is>
      </c>
      <c r="B492" s="5" t="n">
        <v>1</v>
      </c>
      <c r="C492" s="5" t="inlineStr">
        <is>
          <t>cross_kg</t>
        </is>
      </c>
      <c r="D492" s="5" t="inlineStr">
        <is>
          <t>cross</t>
        </is>
      </c>
      <c r="E492" s="5" t="inlineStr">
        <is>
          <t>ar</t>
        </is>
      </c>
      <c r="F492" s="5" t="inlineStr">
        <is>
          <t>few-shot</t>
        </is>
      </c>
      <c r="G492" s="5" t="inlineStr">
        <is>
          <t>cross_kg</t>
        </is>
      </c>
      <c r="H492" s="5" t="inlineStr">
        <is>
          <t>cross_kg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12.55</v>
      </c>
    </row>
    <row r="493">
      <c r="A493" s="5" t="inlineStr">
        <is>
          <t>cross_kg_014</t>
        </is>
      </c>
      <c r="B493" s="5" t="n">
        <v>1</v>
      </c>
      <c r="C493" s="5" t="inlineStr">
        <is>
          <t>cross_kg</t>
        </is>
      </c>
      <c r="D493" s="5" t="inlineStr">
        <is>
          <t>cross</t>
        </is>
      </c>
      <c r="E493" s="5" t="inlineStr">
        <is>
          <t>ar</t>
        </is>
      </c>
      <c r="F493" s="5" t="inlineStr">
        <is>
          <t>cot</t>
        </is>
      </c>
      <c r="G493" s="5" t="inlineStr">
        <is>
          <t>cross_kg</t>
        </is>
      </c>
      <c r="H493" s="5" t="inlineStr">
        <is>
          <t>cross_kg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13.48</v>
      </c>
    </row>
    <row r="494">
      <c r="A494" s="5" t="inlineStr">
        <is>
          <t>cross_kg_015</t>
        </is>
      </c>
      <c r="B494" s="5" t="n">
        <v>1</v>
      </c>
      <c r="C494" s="5" t="inlineStr">
        <is>
          <t>cross_kg</t>
        </is>
      </c>
      <c r="D494" s="5" t="inlineStr">
        <is>
          <t>cross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cross_kg</t>
        </is>
      </c>
      <c r="H494" s="5" t="inlineStr">
        <is>
          <t>cross_kg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15.16</v>
      </c>
    </row>
    <row r="495">
      <c r="A495" s="5" t="inlineStr">
        <is>
          <t>cross_kg_015</t>
        </is>
      </c>
      <c r="B495" s="5" t="n">
        <v>1</v>
      </c>
      <c r="C495" s="5" t="inlineStr">
        <is>
          <t>cross_kg</t>
        </is>
      </c>
      <c r="D495" s="5" t="inlineStr">
        <is>
          <t>cross</t>
        </is>
      </c>
      <c r="E495" s="5" t="inlineStr">
        <is>
          <t>en</t>
        </is>
      </c>
      <c r="F495" s="5" t="inlineStr">
        <is>
          <t>few-shot</t>
        </is>
      </c>
      <c r="G495" s="5" t="inlineStr">
        <is>
          <t>cross_kg</t>
        </is>
      </c>
      <c r="H495" s="5" t="inlineStr">
        <is>
          <t>cross_kg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14.24</v>
      </c>
    </row>
    <row r="496">
      <c r="A496" s="5" t="inlineStr">
        <is>
          <t>cross_kg_015</t>
        </is>
      </c>
      <c r="B496" s="5" t="n">
        <v>1</v>
      </c>
      <c r="C496" s="5" t="inlineStr">
        <is>
          <t>cross_kg</t>
        </is>
      </c>
      <c r="D496" s="5" t="inlineStr">
        <is>
          <t>cross</t>
        </is>
      </c>
      <c r="E496" s="5" t="inlineStr">
        <is>
          <t>en</t>
        </is>
      </c>
      <c r="F496" s="5" t="inlineStr">
        <is>
          <t>cot</t>
        </is>
      </c>
      <c r="G496" s="5" t="inlineStr">
        <is>
          <t>cross_kg</t>
        </is>
      </c>
      <c r="H496" s="5" t="inlineStr">
        <is>
          <t>cross_kg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14.82</v>
      </c>
    </row>
    <row r="497">
      <c r="A497" s="5" t="inlineStr">
        <is>
          <t>cross_kg_015</t>
        </is>
      </c>
      <c r="B497" s="5" t="n">
        <v>1</v>
      </c>
      <c r="C497" s="5" t="inlineStr">
        <is>
          <t>cross_kg</t>
        </is>
      </c>
      <c r="D497" s="5" t="inlineStr">
        <is>
          <t>cross</t>
        </is>
      </c>
      <c r="E497" s="5" t="inlineStr">
        <is>
          <t>fr</t>
        </is>
      </c>
      <c r="F497" s="5" t="inlineStr">
        <is>
          <t>zero-shot</t>
        </is>
      </c>
      <c r="G497" s="5" t="inlineStr">
        <is>
          <t>cross_kg</t>
        </is>
      </c>
      <c r="H497" s="5" t="inlineStr">
        <is>
          <t>cross_kg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17.49</v>
      </c>
    </row>
    <row r="498">
      <c r="A498" s="5" t="inlineStr">
        <is>
          <t>cross_kg_015</t>
        </is>
      </c>
      <c r="B498" s="5" t="n">
        <v>1</v>
      </c>
      <c r="C498" s="5" t="inlineStr">
        <is>
          <t>cross_kg</t>
        </is>
      </c>
      <c r="D498" s="5" t="inlineStr">
        <is>
          <t>cross</t>
        </is>
      </c>
      <c r="E498" s="5" t="inlineStr">
        <is>
          <t>fr</t>
        </is>
      </c>
      <c r="F498" s="5" t="inlineStr">
        <is>
          <t>few-shot</t>
        </is>
      </c>
      <c r="G498" s="5" t="inlineStr">
        <is>
          <t>cross_kg</t>
        </is>
      </c>
      <c r="H498" s="5" t="inlineStr">
        <is>
          <t>cross_kg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15.32</v>
      </c>
    </row>
    <row r="499">
      <c r="A499" s="5" t="inlineStr">
        <is>
          <t>cross_kg_015</t>
        </is>
      </c>
      <c r="B499" s="5" t="n">
        <v>1</v>
      </c>
      <c r="C499" s="5" t="inlineStr">
        <is>
          <t>cross_kg</t>
        </is>
      </c>
      <c r="D499" s="5" t="inlineStr">
        <is>
          <t>cross</t>
        </is>
      </c>
      <c r="E499" s="5" t="inlineStr">
        <is>
          <t>fr</t>
        </is>
      </c>
      <c r="F499" s="5" t="inlineStr">
        <is>
          <t>cot</t>
        </is>
      </c>
      <c r="G499" s="5" t="inlineStr">
        <is>
          <t>cross_kg</t>
        </is>
      </c>
      <c r="H499" s="5" t="inlineStr">
        <is>
          <t>cross_kg</t>
        </is>
      </c>
      <c r="I499" s="5" t="b">
        <v>1</v>
      </c>
      <c r="J499" s="5" t="b">
        <v>1</v>
      </c>
      <c r="K499" s="5" t="inlineStr">
        <is>
          <t>success</t>
        </is>
      </c>
      <c r="L499" s="5" t="n"/>
      <c r="M499" s="5" t="n">
        <v>1</v>
      </c>
      <c r="N499" s="5" t="n">
        <v>1</v>
      </c>
      <c r="O499" s="5" t="n">
        <v>15.54</v>
      </c>
    </row>
    <row r="500">
      <c r="A500" s="5" t="inlineStr">
        <is>
          <t>cross_kg_015</t>
        </is>
      </c>
      <c r="B500" s="5" t="n">
        <v>1</v>
      </c>
      <c r="C500" s="5" t="inlineStr">
        <is>
          <t>cross_kg</t>
        </is>
      </c>
      <c r="D500" s="5" t="inlineStr">
        <is>
          <t>cross</t>
        </is>
      </c>
      <c r="E500" s="5" t="inlineStr">
        <is>
          <t>ar</t>
        </is>
      </c>
      <c r="F500" s="5" t="inlineStr">
        <is>
          <t>zero-shot</t>
        </is>
      </c>
      <c r="G500" s="5" t="inlineStr">
        <is>
          <t>cross_kg</t>
        </is>
      </c>
      <c r="H500" s="5" t="inlineStr">
        <is>
          <t>cross_kg</t>
        </is>
      </c>
      <c r="I500" s="5" t="b">
        <v>1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17.67</v>
      </c>
    </row>
    <row r="501">
      <c r="A501" s="5" t="inlineStr">
        <is>
          <t>cross_kg_015</t>
        </is>
      </c>
      <c r="B501" s="5" t="n">
        <v>1</v>
      </c>
      <c r="C501" s="5" t="inlineStr">
        <is>
          <t>cross_kg</t>
        </is>
      </c>
      <c r="D501" s="5" t="inlineStr">
        <is>
          <t>cross</t>
        </is>
      </c>
      <c r="E501" s="5" t="inlineStr">
        <is>
          <t>ar</t>
        </is>
      </c>
      <c r="F501" s="5" t="inlineStr">
        <is>
          <t>few-shot</t>
        </is>
      </c>
      <c r="G501" s="5" t="inlineStr">
        <is>
          <t>cross_kg</t>
        </is>
      </c>
      <c r="H501" s="5" t="inlineStr">
        <is>
          <t>cross_kg</t>
        </is>
      </c>
      <c r="I501" s="5" t="b">
        <v>1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15.08</v>
      </c>
    </row>
    <row r="502">
      <c r="A502" s="5" t="inlineStr">
        <is>
          <t>cross_kg_015</t>
        </is>
      </c>
      <c r="B502" s="5" t="n">
        <v>1</v>
      </c>
      <c r="C502" s="5" t="inlineStr">
        <is>
          <t>cross_kg</t>
        </is>
      </c>
      <c r="D502" s="5" t="inlineStr">
        <is>
          <t>cross</t>
        </is>
      </c>
      <c r="E502" s="5" t="inlineStr">
        <is>
          <t>ar</t>
        </is>
      </c>
      <c r="F502" s="5" t="inlineStr">
        <is>
          <t>cot</t>
        </is>
      </c>
      <c r="G502" s="5" t="inlineStr">
        <is>
          <t>cross_kg</t>
        </is>
      </c>
      <c r="H502" s="5" t="inlineStr">
        <is>
          <t>cross_kg</t>
        </is>
      </c>
      <c r="I502" s="5" t="b">
        <v>1</v>
      </c>
      <c r="J502" s="5" t="b">
        <v>1</v>
      </c>
      <c r="K502" s="5" t="inlineStr">
        <is>
          <t>success</t>
        </is>
      </c>
      <c r="L502" s="5" t="n"/>
      <c r="M502" s="5" t="n">
        <v>1</v>
      </c>
      <c r="N502" s="5" t="n">
        <v>1</v>
      </c>
      <c r="O502" s="5" t="n">
        <v>15.62</v>
      </c>
    </row>
    <row r="503">
      <c r="A503" s="5" t="inlineStr">
        <is>
          <t>group_agg_kg2_001</t>
        </is>
      </c>
      <c r="B503" s="5" t="n">
        <v>2</v>
      </c>
      <c r="C503" s="5" t="inlineStr">
        <is>
          <t>group_aggregate_kg2</t>
        </is>
      </c>
      <c r="D503" s="5" t="inlineStr">
        <is>
          <t>airports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template</t>
        </is>
      </c>
      <c r="H503" s="5" t="inlineStr">
        <is>
          <t>template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8.390000000000001</v>
      </c>
    </row>
    <row r="504">
      <c r="A504" s="5" t="inlineStr">
        <is>
          <t>group_agg_kg2_001</t>
        </is>
      </c>
      <c r="B504" s="5" t="n">
        <v>2</v>
      </c>
      <c r="C504" s="5" t="inlineStr">
        <is>
          <t>group_aggregate_kg2</t>
        </is>
      </c>
      <c r="D504" s="5" t="inlineStr">
        <is>
          <t>airports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template</t>
        </is>
      </c>
      <c r="H504" s="5" t="inlineStr">
        <is>
          <t>template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8.130000000000001</v>
      </c>
    </row>
    <row r="505">
      <c r="A505" s="5" t="inlineStr">
        <is>
          <t>group_agg_kg2_001</t>
        </is>
      </c>
      <c r="B505" s="5" t="n">
        <v>2</v>
      </c>
      <c r="C505" s="5" t="inlineStr">
        <is>
          <t>group_aggregate_kg2</t>
        </is>
      </c>
      <c r="D505" s="5" t="inlineStr">
        <is>
          <t>airports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template</t>
        </is>
      </c>
      <c r="H505" s="5" t="inlineStr">
        <is>
          <t>template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8.130000000000001</v>
      </c>
    </row>
    <row r="506">
      <c r="A506" s="5" t="inlineStr">
        <is>
          <t>group_agg_kg2_001</t>
        </is>
      </c>
      <c r="B506" s="5" t="n">
        <v>2</v>
      </c>
      <c r="C506" s="5" t="inlineStr">
        <is>
          <t>group_aggregate_kg2</t>
        </is>
      </c>
      <c r="D506" s="5" t="inlineStr">
        <is>
          <t>airports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template</t>
        </is>
      </c>
      <c r="H506" s="5" t="inlineStr">
        <is>
          <t>template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8.74</v>
      </c>
    </row>
    <row r="507">
      <c r="A507" s="5" t="inlineStr">
        <is>
          <t>group_agg_kg2_001</t>
        </is>
      </c>
      <c r="B507" s="5" t="n">
        <v>2</v>
      </c>
      <c r="C507" s="5" t="inlineStr">
        <is>
          <t>group_aggregate_kg2</t>
        </is>
      </c>
      <c r="D507" s="5" t="inlineStr">
        <is>
          <t>airports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template</t>
        </is>
      </c>
      <c r="H507" s="5" t="inlineStr">
        <is>
          <t>template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8.25</v>
      </c>
    </row>
    <row r="508">
      <c r="A508" s="5" t="inlineStr">
        <is>
          <t>group_agg_kg2_001</t>
        </is>
      </c>
      <c r="B508" s="5" t="n">
        <v>2</v>
      </c>
      <c r="C508" s="5" t="inlineStr">
        <is>
          <t>group_aggregate_kg2</t>
        </is>
      </c>
      <c r="D508" s="5" t="inlineStr">
        <is>
          <t>airports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template</t>
        </is>
      </c>
      <c r="H508" s="5" t="inlineStr">
        <is>
          <t>template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8.17</v>
      </c>
    </row>
    <row r="509">
      <c r="A509" s="5" t="inlineStr">
        <is>
          <t>group_agg_kg2_001</t>
        </is>
      </c>
      <c r="B509" s="5" t="n">
        <v>2</v>
      </c>
      <c r="C509" s="5" t="inlineStr">
        <is>
          <t>group_aggregate_kg2</t>
        </is>
      </c>
      <c r="D509" s="5" t="inlineStr">
        <is>
          <t>airports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template</t>
        </is>
      </c>
      <c r="H509" s="5" t="inlineStr">
        <is>
          <t>template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10.12</v>
      </c>
    </row>
    <row r="510">
      <c r="A510" s="5" t="inlineStr">
        <is>
          <t>group_agg_kg2_001</t>
        </is>
      </c>
      <c r="B510" s="5" t="n">
        <v>2</v>
      </c>
      <c r="C510" s="5" t="inlineStr">
        <is>
          <t>group_aggregate_kg2</t>
        </is>
      </c>
      <c r="D510" s="5" t="inlineStr">
        <is>
          <t>airports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template</t>
        </is>
      </c>
      <c r="H510" s="5" t="inlineStr">
        <is>
          <t>template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8.48</v>
      </c>
    </row>
    <row r="511">
      <c r="A511" s="5" t="inlineStr">
        <is>
          <t>group_agg_kg2_001</t>
        </is>
      </c>
      <c r="B511" s="5" t="n">
        <v>2</v>
      </c>
      <c r="C511" s="5" t="inlineStr">
        <is>
          <t>group_aggregate_kg2</t>
        </is>
      </c>
      <c r="D511" s="5" t="inlineStr">
        <is>
          <t>airports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template</t>
        </is>
      </c>
      <c r="H511" s="5" t="inlineStr">
        <is>
          <t>template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8.300000000000001</v>
      </c>
    </row>
    <row r="512">
      <c r="A512" s="5" t="inlineStr">
        <is>
          <t>filter_string_kg3_003</t>
        </is>
      </c>
      <c r="B512" s="5" t="n">
        <v>2</v>
      </c>
      <c r="C512" s="5" t="inlineStr">
        <is>
          <t>filter_string_kg3</t>
        </is>
      </c>
      <c r="D512" s="5" t="inlineStr">
        <is>
          <t>university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template</t>
        </is>
      </c>
      <c r="H512" s="5" t="inlineStr">
        <is>
          <t>template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7.27</v>
      </c>
    </row>
    <row r="513">
      <c r="A513" s="5" t="inlineStr">
        <is>
          <t>filter_string_kg3_003</t>
        </is>
      </c>
      <c r="B513" s="5" t="n">
        <v>2</v>
      </c>
      <c r="C513" s="5" t="inlineStr">
        <is>
          <t>filter_string_kg3</t>
        </is>
      </c>
      <c r="D513" s="5" t="inlineStr">
        <is>
          <t>university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template</t>
        </is>
      </c>
      <c r="H513" s="5" t="inlineStr">
        <is>
          <t>template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6.92</v>
      </c>
    </row>
    <row r="514">
      <c r="A514" s="5" t="inlineStr">
        <is>
          <t>filter_string_kg3_003</t>
        </is>
      </c>
      <c r="B514" s="5" t="n">
        <v>2</v>
      </c>
      <c r="C514" s="5" t="inlineStr">
        <is>
          <t>filter_string_kg3</t>
        </is>
      </c>
      <c r="D514" s="5" t="inlineStr">
        <is>
          <t>university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template</t>
        </is>
      </c>
      <c r="H514" s="5" t="inlineStr">
        <is>
          <t>template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6.85</v>
      </c>
    </row>
    <row r="515">
      <c r="A515" s="5" t="inlineStr">
        <is>
          <t>filter_string_kg3_003</t>
        </is>
      </c>
      <c r="B515" s="5" t="n">
        <v>2</v>
      </c>
      <c r="C515" s="5" t="inlineStr">
        <is>
          <t>filter_string_kg3</t>
        </is>
      </c>
      <c r="D515" s="5" t="inlineStr">
        <is>
          <t>university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template</t>
        </is>
      </c>
      <c r="H515" s="5" t="inlineStr">
        <is>
          <t>template</t>
        </is>
      </c>
      <c r="I515" s="5" t="b">
        <v>1</v>
      </c>
      <c r="J515" s="5" t="b">
        <v>0</v>
      </c>
      <c r="K515" s="5" t="inlineStr">
        <is>
          <t>execution_failure</t>
        </is>
      </c>
      <c r="L515" s="5" t="inlineStr">
        <is>
          <t>params={'operator': '&lt;', 'threshold': 3}</t>
        </is>
      </c>
      <c r="M515" s="5" t="n">
        <v>0</v>
      </c>
      <c r="N515" s="5" t="n">
        <v>0</v>
      </c>
      <c r="O515" s="5" t="n">
        <v>0.07000000000000001</v>
      </c>
    </row>
    <row r="516">
      <c r="A516" s="5" t="inlineStr">
        <is>
          <t>filter_string_kg3_003</t>
        </is>
      </c>
      <c r="B516" s="5" t="n">
        <v>2</v>
      </c>
      <c r="C516" s="5" t="inlineStr">
        <is>
          <t>filter_string_kg3</t>
        </is>
      </c>
      <c r="D516" s="5" t="inlineStr">
        <is>
          <t>university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template</t>
        </is>
      </c>
      <c r="H516" s="5" t="inlineStr">
        <is>
          <t>template</t>
        </is>
      </c>
      <c r="I516" s="5" t="b">
        <v>1</v>
      </c>
      <c r="J516" s="5" t="b">
        <v>0</v>
      </c>
      <c r="K516" s="5" t="inlineStr">
        <is>
          <t>execution_failure</t>
        </is>
      </c>
      <c r="L516" s="5" t="inlineStr">
        <is>
          <t>params={'operator': '&lt;', 'threshold': 3}</t>
        </is>
      </c>
      <c r="M516" s="5" t="n">
        <v>0</v>
      </c>
      <c r="N516" s="5" t="n">
        <v>0</v>
      </c>
      <c r="O516" s="5" t="n">
        <v>0.06</v>
      </c>
    </row>
    <row r="517">
      <c r="A517" s="5" t="inlineStr">
        <is>
          <t>filter_string_kg3_003</t>
        </is>
      </c>
      <c r="B517" s="5" t="n">
        <v>2</v>
      </c>
      <c r="C517" s="5" t="inlineStr">
        <is>
          <t>filter_string_kg3</t>
        </is>
      </c>
      <c r="D517" s="5" t="inlineStr">
        <is>
          <t>university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template</t>
        </is>
      </c>
      <c r="H517" s="5" t="inlineStr">
        <is>
          <t>template</t>
        </is>
      </c>
      <c r="I517" s="5" t="b">
        <v>1</v>
      </c>
      <c r="J517" s="5" t="b">
        <v>0</v>
      </c>
      <c r="K517" s="5" t="inlineStr">
        <is>
          <t>execution_failure</t>
        </is>
      </c>
      <c r="L517" s="5" t="inlineStr">
        <is>
          <t>params={'operator': '&lt;', 'threshold': 3}</t>
        </is>
      </c>
      <c r="M517" s="5" t="n">
        <v>0</v>
      </c>
      <c r="N517" s="5" t="n">
        <v>0</v>
      </c>
      <c r="O517" s="5" t="n">
        <v>0.05</v>
      </c>
    </row>
    <row r="518">
      <c r="A518" s="5" t="inlineStr">
        <is>
          <t>filter_string_kg3_003</t>
        </is>
      </c>
      <c r="B518" s="5" t="n">
        <v>2</v>
      </c>
      <c r="C518" s="5" t="inlineStr">
        <is>
          <t>filter_string_kg3</t>
        </is>
      </c>
      <c r="D518" s="5" t="inlineStr">
        <is>
          <t>university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template</t>
        </is>
      </c>
      <c r="H518" s="5" t="inlineStr">
        <is>
          <t>template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9</v>
      </c>
    </row>
    <row r="519">
      <c r="A519" s="5" t="inlineStr">
        <is>
          <t>filter_string_kg3_003</t>
        </is>
      </c>
      <c r="B519" s="5" t="n">
        <v>2</v>
      </c>
      <c r="C519" s="5" t="inlineStr">
        <is>
          <t>filter_string_kg3</t>
        </is>
      </c>
      <c r="D519" s="5" t="inlineStr">
        <is>
          <t>university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template</t>
        </is>
      </c>
      <c r="H519" s="5" t="inlineStr">
        <is>
          <t>template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8.51</v>
      </c>
    </row>
    <row r="520">
      <c r="A520" s="5" t="inlineStr">
        <is>
          <t>filter_string_kg3_003</t>
        </is>
      </c>
      <c r="B520" s="5" t="n">
        <v>2</v>
      </c>
      <c r="C520" s="5" t="inlineStr">
        <is>
          <t>filter_string_kg3</t>
        </is>
      </c>
      <c r="D520" s="5" t="inlineStr">
        <is>
          <t>university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template</t>
        </is>
      </c>
      <c r="H520" s="5" t="inlineStr">
        <is>
          <t>template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8.16</v>
      </c>
    </row>
    <row r="521">
      <c r="A521" s="5" t="inlineStr">
        <is>
          <t>ranking_kg2_004</t>
        </is>
      </c>
      <c r="B521" s="5" t="n">
        <v>2</v>
      </c>
      <c r="C521" s="5" t="inlineStr">
        <is>
          <t>ranking_kg2</t>
        </is>
      </c>
      <c r="D521" s="5" t="inlineStr">
        <is>
          <t>airports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template</t>
        </is>
      </c>
      <c r="H521" s="5" t="inlineStr">
        <is>
          <t>template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7.14</v>
      </c>
    </row>
    <row r="522">
      <c r="A522" s="5" t="inlineStr">
        <is>
          <t>ranking_kg2_004</t>
        </is>
      </c>
      <c r="B522" s="5" t="n">
        <v>2</v>
      </c>
      <c r="C522" s="5" t="inlineStr">
        <is>
          <t>ranking_kg2</t>
        </is>
      </c>
      <c r="D522" s="5" t="inlineStr">
        <is>
          <t>airports</t>
        </is>
      </c>
      <c r="E522" s="5" t="inlineStr">
        <is>
          <t>en</t>
        </is>
      </c>
      <c r="F522" s="5" t="inlineStr">
        <is>
          <t>few-shot</t>
        </is>
      </c>
      <c r="G522" s="5" t="inlineStr">
        <is>
          <t>template</t>
        </is>
      </c>
      <c r="H522" s="5" t="inlineStr">
        <is>
          <t>template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7.89</v>
      </c>
    </row>
    <row r="523">
      <c r="A523" s="5" t="inlineStr">
        <is>
          <t>ranking_kg2_004</t>
        </is>
      </c>
      <c r="B523" s="5" t="n">
        <v>2</v>
      </c>
      <c r="C523" s="5" t="inlineStr">
        <is>
          <t>ranking_kg2</t>
        </is>
      </c>
      <c r="D523" s="5" t="inlineStr">
        <is>
          <t>airports</t>
        </is>
      </c>
      <c r="E523" s="5" t="inlineStr">
        <is>
          <t>en</t>
        </is>
      </c>
      <c r="F523" s="5" t="inlineStr">
        <is>
          <t>cot</t>
        </is>
      </c>
      <c r="G523" s="5" t="inlineStr">
        <is>
          <t>template</t>
        </is>
      </c>
      <c r="H523" s="5" t="inlineStr">
        <is>
          <t>template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8.01</v>
      </c>
    </row>
    <row r="524">
      <c r="A524" s="5" t="inlineStr">
        <is>
          <t>ranking_kg2_004</t>
        </is>
      </c>
      <c r="B524" s="5" t="n">
        <v>2</v>
      </c>
      <c r="C524" s="5" t="inlineStr">
        <is>
          <t>ranking_kg2</t>
        </is>
      </c>
      <c r="D524" s="5" t="inlineStr">
        <is>
          <t>airports</t>
        </is>
      </c>
      <c r="E524" s="5" t="inlineStr">
        <is>
          <t>fr</t>
        </is>
      </c>
      <c r="F524" s="5" t="inlineStr">
        <is>
          <t>zero-shot</t>
        </is>
      </c>
      <c r="G524" s="5" t="inlineStr">
        <is>
          <t>template</t>
        </is>
      </c>
      <c r="H524" s="5" t="inlineStr">
        <is>
          <t>template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12.66</v>
      </c>
    </row>
    <row r="525">
      <c r="A525" s="5" t="inlineStr">
        <is>
          <t>ranking_kg2_004</t>
        </is>
      </c>
      <c r="B525" s="5" t="n">
        <v>2</v>
      </c>
      <c r="C525" s="5" t="inlineStr">
        <is>
          <t>ranking_kg2</t>
        </is>
      </c>
      <c r="D525" s="5" t="inlineStr">
        <is>
          <t>airports</t>
        </is>
      </c>
      <c r="E525" s="5" t="inlineStr">
        <is>
          <t>fr</t>
        </is>
      </c>
      <c r="F525" s="5" t="inlineStr">
        <is>
          <t>few-shot</t>
        </is>
      </c>
      <c r="G525" s="5" t="inlineStr">
        <is>
          <t>template</t>
        </is>
      </c>
      <c r="H525" s="5" t="inlineStr">
        <is>
          <t>template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9.49</v>
      </c>
    </row>
    <row r="526">
      <c r="A526" s="5" t="inlineStr">
        <is>
          <t>ranking_kg2_004</t>
        </is>
      </c>
      <c r="B526" s="5" t="n">
        <v>2</v>
      </c>
      <c r="C526" s="5" t="inlineStr">
        <is>
          <t>ranking_kg2</t>
        </is>
      </c>
      <c r="D526" s="5" t="inlineStr">
        <is>
          <t>airports</t>
        </is>
      </c>
      <c r="E526" s="5" t="inlineStr">
        <is>
          <t>fr</t>
        </is>
      </c>
      <c r="F526" s="5" t="inlineStr">
        <is>
          <t>cot</t>
        </is>
      </c>
      <c r="G526" s="5" t="inlineStr">
        <is>
          <t>template</t>
        </is>
      </c>
      <c r="H526" s="5" t="inlineStr">
        <is>
          <t>template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9.4</v>
      </c>
    </row>
    <row r="527">
      <c r="A527" s="5" t="inlineStr">
        <is>
          <t>ranking_kg2_004</t>
        </is>
      </c>
      <c r="B527" s="5" t="n">
        <v>2</v>
      </c>
      <c r="C527" s="5" t="inlineStr">
        <is>
          <t>ranking_kg2</t>
        </is>
      </c>
      <c r="D527" s="5" t="inlineStr">
        <is>
          <t>airports</t>
        </is>
      </c>
      <c r="E527" s="5" t="inlineStr">
        <is>
          <t>ar</t>
        </is>
      </c>
      <c r="F527" s="5" t="inlineStr">
        <is>
          <t>zero-shot</t>
        </is>
      </c>
      <c r="G527" s="5" t="inlineStr">
        <is>
          <t>template</t>
        </is>
      </c>
      <c r="H527" s="5" t="inlineStr">
        <is>
          <t>template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12.72</v>
      </c>
    </row>
    <row r="528">
      <c r="A528" s="5" t="inlineStr">
        <is>
          <t>ranking_kg2_004</t>
        </is>
      </c>
      <c r="B528" s="5" t="n">
        <v>2</v>
      </c>
      <c r="C528" s="5" t="inlineStr">
        <is>
          <t>ranking_kg2</t>
        </is>
      </c>
      <c r="D528" s="5" t="inlineStr">
        <is>
          <t>airports</t>
        </is>
      </c>
      <c r="E528" s="5" t="inlineStr">
        <is>
          <t>ar</t>
        </is>
      </c>
      <c r="F528" s="5" t="inlineStr">
        <is>
          <t>few-shot</t>
        </is>
      </c>
      <c r="G528" s="5" t="inlineStr">
        <is>
          <t>template</t>
        </is>
      </c>
      <c r="H528" s="5" t="inlineStr">
        <is>
          <t>template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10.49</v>
      </c>
    </row>
    <row r="529">
      <c r="A529" s="5" t="inlineStr">
        <is>
          <t>ranking_kg2_004</t>
        </is>
      </c>
      <c r="B529" s="5" t="n">
        <v>2</v>
      </c>
      <c r="C529" s="5" t="inlineStr">
        <is>
          <t>ranking_kg2</t>
        </is>
      </c>
      <c r="D529" s="5" t="inlineStr">
        <is>
          <t>airports</t>
        </is>
      </c>
      <c r="E529" s="5" t="inlineStr">
        <is>
          <t>ar</t>
        </is>
      </c>
      <c r="F529" s="5" t="inlineStr">
        <is>
          <t>cot</t>
        </is>
      </c>
      <c r="G529" s="5" t="inlineStr">
        <is>
          <t>template</t>
        </is>
      </c>
      <c r="H529" s="5" t="inlineStr">
        <is>
          <t>template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10.01</v>
      </c>
    </row>
    <row r="530">
      <c r="A530" s="5" t="inlineStr">
        <is>
          <t>ask_query_005</t>
        </is>
      </c>
      <c r="B530" s="5" t="n">
        <v>3</v>
      </c>
      <c r="C530" s="5" t="inlineStr">
        <is>
          <t>ask_query</t>
        </is>
      </c>
      <c r="D530" s="5" t="inlineStr">
        <is>
          <t>mixed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ask_query</t>
        </is>
      </c>
      <c r="H530" s="5" t="inlineStr">
        <is>
          <t>ask_query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6.12</v>
      </c>
    </row>
    <row r="531">
      <c r="A531" s="5" t="inlineStr">
        <is>
          <t>ask_query_005</t>
        </is>
      </c>
      <c r="B531" s="5" t="n">
        <v>3</v>
      </c>
      <c r="C531" s="5" t="inlineStr">
        <is>
          <t>ask_query</t>
        </is>
      </c>
      <c r="D531" s="5" t="inlineStr">
        <is>
          <t>mixed</t>
        </is>
      </c>
      <c r="E531" s="5" t="inlineStr">
        <is>
          <t>fr</t>
        </is>
      </c>
      <c r="F531" s="5" t="inlineStr">
        <is>
          <t>zero-shot</t>
        </is>
      </c>
      <c r="G531" s="5" t="inlineStr">
        <is>
          <t>ask_query</t>
        </is>
      </c>
      <c r="H531" s="5" t="inlineStr">
        <is>
          <t>ask_query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4.38</v>
      </c>
    </row>
    <row r="532">
      <c r="A532" s="5" t="inlineStr">
        <is>
          <t>ask_query_005</t>
        </is>
      </c>
      <c r="B532" s="5" t="n">
        <v>3</v>
      </c>
      <c r="C532" s="5" t="inlineStr">
        <is>
          <t>ask_query</t>
        </is>
      </c>
      <c r="D532" s="5" t="inlineStr">
        <is>
          <t>mixed</t>
        </is>
      </c>
      <c r="E532" s="5" t="inlineStr">
        <is>
          <t>ar</t>
        </is>
      </c>
      <c r="F532" s="5" t="inlineStr">
        <is>
          <t>zero-shot</t>
        </is>
      </c>
      <c r="G532" s="5" t="inlineStr">
        <is>
          <t>ask_query</t>
        </is>
      </c>
      <c r="H532" s="5" t="inlineStr">
        <is>
          <t>out_of_scope</t>
        </is>
      </c>
      <c r="I532" s="5" t="b">
        <v>0</v>
      </c>
      <c r="J532" s="5" t="b">
        <v>0</v>
      </c>
      <c r="K532" s="5" t="inlineStr">
        <is>
          <t>routing_miss</t>
        </is>
      </c>
      <c r="L532" s="5" t="n"/>
      <c r="M532" s="5" t="n"/>
      <c r="N532" s="5" t="n"/>
      <c r="O532" s="5" t="n">
        <v>3.41</v>
      </c>
    </row>
    <row r="533">
      <c r="A533" s="5" t="inlineStr">
        <is>
          <t>open_kg_007</t>
        </is>
      </c>
      <c r="B533" s="5" t="n">
        <v>1</v>
      </c>
      <c r="C533" s="5" t="inlineStr">
        <is>
          <t>open_kg</t>
        </is>
      </c>
      <c r="D533" s="5" t="inlineStr">
        <is>
          <t>cross</t>
        </is>
      </c>
      <c r="E533" s="5" t="inlineStr">
        <is>
          <t>en</t>
        </is>
      </c>
      <c r="F533" s="5" t="inlineStr">
        <is>
          <t>zero-shot</t>
        </is>
      </c>
      <c r="G533" s="5" t="inlineStr">
        <is>
          <t>open_kg</t>
        </is>
      </c>
      <c r="H533" s="5" t="inlineStr">
        <is>
          <t>open_kg</t>
        </is>
      </c>
      <c r="I533" s="5" t="b">
        <v>1</v>
      </c>
      <c r="J533" s="5" t="b">
        <v>1</v>
      </c>
      <c r="K533" s="5" t="inlineStr">
        <is>
          <t>success</t>
        </is>
      </c>
      <c r="L533" s="5" t="n"/>
      <c r="M533" s="5" t="n">
        <v>1</v>
      </c>
      <c r="N533" s="5" t="n">
        <v>1</v>
      </c>
      <c r="O533" s="5" t="n">
        <v>20.68</v>
      </c>
    </row>
    <row r="534">
      <c r="A534" s="5" t="inlineStr">
        <is>
          <t>open_kg_007</t>
        </is>
      </c>
      <c r="B534" s="5" t="n">
        <v>1</v>
      </c>
      <c r="C534" s="5" t="inlineStr">
        <is>
          <t>open_kg</t>
        </is>
      </c>
      <c r="D534" s="5" t="inlineStr">
        <is>
          <t>cross</t>
        </is>
      </c>
      <c r="E534" s="5" t="inlineStr">
        <is>
          <t>en</t>
        </is>
      </c>
      <c r="F534" s="5" t="inlineStr">
        <is>
          <t>few-shot</t>
        </is>
      </c>
      <c r="G534" s="5" t="inlineStr">
        <is>
          <t>open_kg</t>
        </is>
      </c>
      <c r="H534" s="5" t="inlineStr">
        <is>
          <t>open_kg</t>
        </is>
      </c>
      <c r="I534" s="5" t="b">
        <v>1</v>
      </c>
      <c r="J534" s="5" t="b">
        <v>1</v>
      </c>
      <c r="K534" s="5" t="inlineStr">
        <is>
          <t>success</t>
        </is>
      </c>
      <c r="L534" s="5" t="n"/>
      <c r="M534" s="5" t="n">
        <v>1</v>
      </c>
      <c r="N534" s="5" t="n">
        <v>1</v>
      </c>
      <c r="O534" s="5" t="n">
        <v>12.97</v>
      </c>
    </row>
    <row r="535">
      <c r="A535" s="5" t="inlineStr">
        <is>
          <t>open_kg_007</t>
        </is>
      </c>
      <c r="B535" s="5" t="n">
        <v>1</v>
      </c>
      <c r="C535" s="5" t="inlineStr">
        <is>
          <t>open_kg</t>
        </is>
      </c>
      <c r="D535" s="5" t="inlineStr">
        <is>
          <t>cross</t>
        </is>
      </c>
      <c r="E535" s="5" t="inlineStr">
        <is>
          <t>en</t>
        </is>
      </c>
      <c r="F535" s="5" t="inlineStr">
        <is>
          <t>cot</t>
        </is>
      </c>
      <c r="G535" s="5" t="inlineStr">
        <is>
          <t>open_kg</t>
        </is>
      </c>
      <c r="H535" s="5" t="inlineStr">
        <is>
          <t>open_kg</t>
        </is>
      </c>
      <c r="I535" s="5" t="b">
        <v>1</v>
      </c>
      <c r="J535" s="5" t="b">
        <v>1</v>
      </c>
      <c r="K535" s="5" t="inlineStr">
        <is>
          <t>success</t>
        </is>
      </c>
      <c r="L535" s="5" t="n"/>
      <c r="M535" s="5" t="n">
        <v>1</v>
      </c>
      <c r="N535" s="5" t="n">
        <v>1</v>
      </c>
      <c r="O535" s="5" t="n">
        <v>12.73</v>
      </c>
    </row>
    <row r="536">
      <c r="A536" s="5" t="inlineStr">
        <is>
          <t>open_kg_007</t>
        </is>
      </c>
      <c r="B536" s="5" t="n">
        <v>1</v>
      </c>
      <c r="C536" s="5" t="inlineStr">
        <is>
          <t>open_kg</t>
        </is>
      </c>
      <c r="D536" s="5" t="inlineStr">
        <is>
          <t>cross</t>
        </is>
      </c>
      <c r="E536" s="5" t="inlineStr">
        <is>
          <t>fr</t>
        </is>
      </c>
      <c r="F536" s="5" t="inlineStr">
        <is>
          <t>zero-shot</t>
        </is>
      </c>
      <c r="G536" s="5" t="inlineStr">
        <is>
          <t>open_kg</t>
        </is>
      </c>
      <c r="H536" s="5" t="inlineStr">
        <is>
          <t>template</t>
        </is>
      </c>
      <c r="I536" s="5" t="b">
        <v>0</v>
      </c>
      <c r="J536" s="5" t="b">
        <v>0</v>
      </c>
      <c r="K536" s="5" t="inlineStr">
        <is>
          <t>sparql_build_failure</t>
        </is>
      </c>
      <c r="L536" s="5" t="inlineStr">
        <is>
          <t>params={'property': 'airport', 'mode': 'count'}</t>
        </is>
      </c>
      <c r="M536" s="5" t="n">
        <v>0</v>
      </c>
      <c r="N536" s="5" t="n">
        <v>0</v>
      </c>
      <c r="O536" s="5" t="n">
        <v>4.92</v>
      </c>
    </row>
    <row r="537">
      <c r="A537" s="5" t="inlineStr">
        <is>
          <t>open_kg_007</t>
        </is>
      </c>
      <c r="B537" s="5" t="n">
        <v>1</v>
      </c>
      <c r="C537" s="5" t="inlineStr">
        <is>
          <t>open_kg</t>
        </is>
      </c>
      <c r="D537" s="5" t="inlineStr">
        <is>
          <t>cross</t>
        </is>
      </c>
      <c r="E537" s="5" t="inlineStr">
        <is>
          <t>fr</t>
        </is>
      </c>
      <c r="F537" s="5" t="inlineStr">
        <is>
          <t>few-shot</t>
        </is>
      </c>
      <c r="G537" s="5" t="inlineStr">
        <is>
          <t>open_kg</t>
        </is>
      </c>
      <c r="H537" s="5" t="inlineStr">
        <is>
          <t>template</t>
        </is>
      </c>
      <c r="I537" s="5" t="b">
        <v>0</v>
      </c>
      <c r="J537" s="5" t="b">
        <v>0</v>
      </c>
      <c r="K537" s="5" t="inlineStr">
        <is>
          <t>sparql_build_failure</t>
        </is>
      </c>
      <c r="L537" s="5" t="inlineStr">
        <is>
          <t>params={'property': 'airport', 'mode': 'count'}</t>
        </is>
      </c>
      <c r="M537" s="5" t="n">
        <v>0</v>
      </c>
      <c r="N537" s="5" t="n">
        <v>0</v>
      </c>
      <c r="O537" s="5" t="n">
        <v>5.17</v>
      </c>
    </row>
    <row r="538">
      <c r="A538" s="5" t="inlineStr">
        <is>
          <t>open_kg_007</t>
        </is>
      </c>
      <c r="B538" s="5" t="n">
        <v>1</v>
      </c>
      <c r="C538" s="5" t="inlineStr">
        <is>
          <t>open_kg</t>
        </is>
      </c>
      <c r="D538" s="5" t="inlineStr">
        <is>
          <t>cross</t>
        </is>
      </c>
      <c r="E538" s="5" t="inlineStr">
        <is>
          <t>fr</t>
        </is>
      </c>
      <c r="F538" s="5" t="inlineStr">
        <is>
          <t>cot</t>
        </is>
      </c>
      <c r="G538" s="5" t="inlineStr">
        <is>
          <t>open_kg</t>
        </is>
      </c>
      <c r="H538" s="5" t="inlineStr">
        <is>
          <t>template</t>
        </is>
      </c>
      <c r="I538" s="5" t="b">
        <v>0</v>
      </c>
      <c r="J538" s="5" t="b">
        <v>0</v>
      </c>
      <c r="K538" s="5" t="inlineStr">
        <is>
          <t>sparql_build_failure</t>
        </is>
      </c>
      <c r="L538" s="5" t="inlineStr">
        <is>
          <t>params={'property': 'airport', 'mode': 'count'}</t>
        </is>
      </c>
      <c r="M538" s="5" t="n">
        <v>0</v>
      </c>
      <c r="N538" s="5" t="n">
        <v>0</v>
      </c>
      <c r="O538" s="5" t="n">
        <v>5.46</v>
      </c>
    </row>
    <row r="539">
      <c r="A539" s="5" t="inlineStr">
        <is>
          <t>open_kg_007</t>
        </is>
      </c>
      <c r="B539" s="5" t="n">
        <v>1</v>
      </c>
      <c r="C539" s="5" t="inlineStr">
        <is>
          <t>open_kg</t>
        </is>
      </c>
      <c r="D539" s="5" t="inlineStr">
        <is>
          <t>cross</t>
        </is>
      </c>
      <c r="E539" s="5" t="inlineStr">
        <is>
          <t>ar</t>
        </is>
      </c>
      <c r="F539" s="5" t="inlineStr">
        <is>
          <t>zero-shot</t>
        </is>
      </c>
      <c r="G539" s="5" t="inlineStr">
        <is>
          <t>open_kg</t>
        </is>
      </c>
      <c r="H539" s="5" t="inlineStr">
        <is>
          <t>template</t>
        </is>
      </c>
      <c r="I539" s="5" t="b">
        <v>0</v>
      </c>
      <c r="J539" s="5" t="b">
        <v>1</v>
      </c>
      <c r="K539" s="5" t="inlineStr">
        <is>
          <t>success</t>
        </is>
      </c>
      <c r="L539" s="5" t="n"/>
      <c r="M539" s="5" t="n">
        <v>0</v>
      </c>
      <c r="N539" s="5" t="n">
        <v>0</v>
      </c>
      <c r="O539" s="5" t="n">
        <v>8.68</v>
      </c>
    </row>
    <row r="540">
      <c r="A540" s="5" t="inlineStr">
        <is>
          <t>open_kg_007</t>
        </is>
      </c>
      <c r="B540" s="5" t="n">
        <v>1</v>
      </c>
      <c r="C540" s="5" t="inlineStr">
        <is>
          <t>open_kg</t>
        </is>
      </c>
      <c r="D540" s="5" t="inlineStr">
        <is>
          <t>cross</t>
        </is>
      </c>
      <c r="E540" s="5" t="inlineStr">
        <is>
          <t>ar</t>
        </is>
      </c>
      <c r="F540" s="5" t="inlineStr">
        <is>
          <t>few-shot</t>
        </is>
      </c>
      <c r="G540" s="5" t="inlineStr">
        <is>
          <t>open_kg</t>
        </is>
      </c>
      <c r="H540" s="5" t="inlineStr">
        <is>
          <t>template</t>
        </is>
      </c>
      <c r="I540" s="5" t="b">
        <v>0</v>
      </c>
      <c r="J540" s="5" t="b">
        <v>1</v>
      </c>
      <c r="K540" s="5" t="inlineStr">
        <is>
          <t>success</t>
        </is>
      </c>
      <c r="L540" s="5" t="n"/>
      <c r="M540" s="5" t="n">
        <v>0</v>
      </c>
      <c r="N540" s="5" t="n">
        <v>0</v>
      </c>
      <c r="O540" s="5" t="n">
        <v>5.55</v>
      </c>
    </row>
    <row r="541">
      <c r="A541" s="5" t="inlineStr">
        <is>
          <t>open_kg_007</t>
        </is>
      </c>
      <c r="B541" s="5" t="n">
        <v>1</v>
      </c>
      <c r="C541" s="5" t="inlineStr">
        <is>
          <t>open_kg</t>
        </is>
      </c>
      <c r="D541" s="5" t="inlineStr">
        <is>
          <t>cross</t>
        </is>
      </c>
      <c r="E541" s="5" t="inlineStr">
        <is>
          <t>ar</t>
        </is>
      </c>
      <c r="F541" s="5" t="inlineStr">
        <is>
          <t>cot</t>
        </is>
      </c>
      <c r="G541" s="5" t="inlineStr">
        <is>
          <t>open_kg</t>
        </is>
      </c>
      <c r="H541" s="5" t="inlineStr">
        <is>
          <t>template</t>
        </is>
      </c>
      <c r="I541" s="5" t="b">
        <v>0</v>
      </c>
      <c r="J541" s="5" t="b">
        <v>1</v>
      </c>
      <c r="K541" s="5" t="inlineStr">
        <is>
          <t>success</t>
        </is>
      </c>
      <c r="L541" s="5" t="n"/>
      <c r="M541" s="5" t="n">
        <v>0</v>
      </c>
      <c r="N541" s="5" t="n">
        <v>0</v>
      </c>
      <c r="O541" s="5" t="n">
        <v>6.21</v>
      </c>
    </row>
    <row r="542">
      <c r="A542" s="5" t="inlineStr">
        <is>
          <t>ranking_kg1_001</t>
        </is>
      </c>
      <c r="B542" s="5" t="n">
        <v>2</v>
      </c>
      <c r="C542" s="5" t="inlineStr">
        <is>
          <t>ranking_kg1</t>
        </is>
      </c>
      <c r="D542" s="5" t="inlineStr">
        <is>
          <t>flights</t>
        </is>
      </c>
      <c r="E542" s="5" t="inlineStr">
        <is>
          <t>en</t>
        </is>
      </c>
      <c r="F542" s="5" t="inlineStr">
        <is>
          <t>zero-shot</t>
        </is>
      </c>
      <c r="G542" s="5" t="inlineStr">
        <is>
          <t>ranking_kg1</t>
        </is>
      </c>
      <c r="H542" s="5" t="inlineStr">
        <is>
          <t>template</t>
        </is>
      </c>
      <c r="I542" s="5" t="b">
        <v>0</v>
      </c>
      <c r="J542" s="5" t="b">
        <v>1</v>
      </c>
      <c r="K542" s="5" t="inlineStr">
        <is>
          <t>success</t>
        </is>
      </c>
      <c r="L542" s="5" t="n"/>
      <c r="M542" s="5" t="n">
        <v>1</v>
      </c>
      <c r="N542" s="5" t="n">
        <v>1</v>
      </c>
      <c r="O542" s="5" t="n">
        <v>10.8</v>
      </c>
    </row>
    <row r="543">
      <c r="A543" s="5" t="inlineStr">
        <is>
          <t>ranking_kg1_001</t>
        </is>
      </c>
      <c r="B543" s="5" t="n">
        <v>2</v>
      </c>
      <c r="C543" s="5" t="inlineStr">
        <is>
          <t>ranking_kg1</t>
        </is>
      </c>
      <c r="D543" s="5" t="inlineStr">
        <is>
          <t>flights</t>
        </is>
      </c>
      <c r="E543" s="5" t="inlineStr">
        <is>
          <t>fr</t>
        </is>
      </c>
      <c r="F543" s="5" t="inlineStr">
        <is>
          <t>zero-shot</t>
        </is>
      </c>
      <c r="G543" s="5" t="inlineStr">
        <is>
          <t>ranking_kg1</t>
        </is>
      </c>
      <c r="H543" s="5" t="inlineStr">
        <is>
          <t>template</t>
        </is>
      </c>
      <c r="I543" s="5" t="b">
        <v>0</v>
      </c>
      <c r="J543" s="5" t="b">
        <v>1</v>
      </c>
      <c r="K543" s="5" t="inlineStr">
        <is>
          <t>success</t>
        </is>
      </c>
      <c r="L543" s="5" t="n"/>
      <c r="M543" s="5" t="n">
        <v>1</v>
      </c>
      <c r="N543" s="5" t="n">
        <v>1</v>
      </c>
      <c r="O543" s="5" t="n">
        <v>7.35</v>
      </c>
    </row>
    <row r="544">
      <c r="A544" s="5" t="inlineStr">
        <is>
          <t>ranking_kg1_001</t>
        </is>
      </c>
      <c r="B544" s="5" t="n">
        <v>2</v>
      </c>
      <c r="C544" s="5" t="inlineStr">
        <is>
          <t>ranking_kg1</t>
        </is>
      </c>
      <c r="D544" s="5" t="inlineStr">
        <is>
          <t>flights</t>
        </is>
      </c>
      <c r="E544" s="5" t="inlineStr">
        <is>
          <t>ar</t>
        </is>
      </c>
      <c r="F544" s="5" t="inlineStr">
        <is>
          <t>zero-shot</t>
        </is>
      </c>
      <c r="G544" s="5" t="inlineStr">
        <is>
          <t>ranking_kg1</t>
        </is>
      </c>
      <c r="H544" s="5" t="inlineStr">
        <is>
          <t>open_kg</t>
        </is>
      </c>
      <c r="I544" s="5" t="b">
        <v>0</v>
      </c>
      <c r="J544" s="5" t="b">
        <v>0</v>
      </c>
      <c r="K544" s="5" t="inlineStr">
        <is>
          <t>generation_failure</t>
        </is>
      </c>
      <c r="L544" s="5" t="n"/>
      <c r="M544" s="5" t="n">
        <v>0</v>
      </c>
      <c r="N544" s="5" t="n">
        <v>0</v>
      </c>
      <c r="O544" s="5" t="n">
        <v>32.61</v>
      </c>
    </row>
    <row r="545">
      <c r="A545" s="5" t="inlineStr">
        <is>
          <t>single_kg3_009</t>
        </is>
      </c>
      <c r="B545" s="5" t="n">
        <v>2</v>
      </c>
      <c r="C545" s="5" t="inlineStr">
        <is>
          <t>single_kg3</t>
        </is>
      </c>
      <c r="D545" s="5" t="inlineStr">
        <is>
          <t>university</t>
        </is>
      </c>
      <c r="E545" s="5" t="inlineStr">
        <is>
          <t>en</t>
        </is>
      </c>
      <c r="F545" s="5" t="inlineStr">
        <is>
          <t>zero-shot</t>
        </is>
      </c>
      <c r="G545" s="5" t="n">
        <v/>
      </c>
      <c r="H545" s="5" t="inlineStr">
        <is>
          <t>single_kg3</t>
        </is>
      </c>
      <c r="I545" s="5" t="b">
        <v>0</v>
      </c>
      <c r="J545" s="5" t="b">
        <v>1</v>
      </c>
      <c r="K545" s="5" t="inlineStr">
        <is>
          <t>success</t>
        </is>
      </c>
      <c r="L545" s="5" t="n"/>
      <c r="M545" s="5" t="n">
        <v>1</v>
      </c>
      <c r="N545" s="5" t="n">
        <v>1</v>
      </c>
      <c r="O545" s="5" t="n">
        <v>11.97</v>
      </c>
    </row>
    <row r="546">
      <c r="A546" s="5" t="inlineStr">
        <is>
          <t>single_kg3_009</t>
        </is>
      </c>
      <c r="B546" s="5" t="n">
        <v>2</v>
      </c>
      <c r="C546" s="5" t="inlineStr">
        <is>
          <t>single_kg3</t>
        </is>
      </c>
      <c r="D546" s="5" t="inlineStr">
        <is>
          <t>university</t>
        </is>
      </c>
      <c r="E546" s="5" t="inlineStr">
        <is>
          <t>en</t>
        </is>
      </c>
      <c r="F546" s="5" t="inlineStr">
        <is>
          <t>few-shot</t>
        </is>
      </c>
      <c r="G546" s="5" t="n">
        <v/>
      </c>
      <c r="H546" s="5" t="inlineStr">
        <is>
          <t>single_kg3</t>
        </is>
      </c>
      <c r="I546" s="5" t="b">
        <v>0</v>
      </c>
      <c r="J546" s="5" t="b">
        <v>1</v>
      </c>
      <c r="K546" s="5" t="inlineStr">
        <is>
          <t>success</t>
        </is>
      </c>
      <c r="L546" s="5" t="n"/>
      <c r="M546" s="5" t="n">
        <v>1</v>
      </c>
      <c r="N546" s="5" t="n">
        <v>1</v>
      </c>
      <c r="O546" s="5" t="n">
        <v>10.53</v>
      </c>
    </row>
    <row r="547">
      <c r="A547" s="5" t="inlineStr">
        <is>
          <t>single_kg3_009</t>
        </is>
      </c>
      <c r="B547" s="5" t="n">
        <v>2</v>
      </c>
      <c r="C547" s="5" t="inlineStr">
        <is>
          <t>single_kg3</t>
        </is>
      </c>
      <c r="D547" s="5" t="inlineStr">
        <is>
          <t>university</t>
        </is>
      </c>
      <c r="E547" s="5" t="inlineStr">
        <is>
          <t>en</t>
        </is>
      </c>
      <c r="F547" s="5" t="inlineStr">
        <is>
          <t>cot</t>
        </is>
      </c>
      <c r="G547" s="5" t="n">
        <v/>
      </c>
      <c r="H547" s="5" t="inlineStr">
        <is>
          <t>single_kg3</t>
        </is>
      </c>
      <c r="I547" s="5" t="b">
        <v>0</v>
      </c>
      <c r="J547" s="5" t="b">
        <v>1</v>
      </c>
      <c r="K547" s="5" t="inlineStr">
        <is>
          <t>success</t>
        </is>
      </c>
      <c r="L547" s="5" t="n"/>
      <c r="M547" s="5" t="n">
        <v>1</v>
      </c>
      <c r="N547" s="5" t="n">
        <v>1</v>
      </c>
      <c r="O547" s="5" t="n">
        <v>10.74</v>
      </c>
    </row>
    <row r="548">
      <c r="A548" s="5" t="inlineStr">
        <is>
          <t>single_kg3_009</t>
        </is>
      </c>
      <c r="B548" s="5" t="n">
        <v>2</v>
      </c>
      <c r="C548" s="5" t="inlineStr">
        <is>
          <t>single_kg3</t>
        </is>
      </c>
      <c r="D548" s="5" t="inlineStr">
        <is>
          <t>university</t>
        </is>
      </c>
      <c r="E548" s="5" t="inlineStr">
        <is>
          <t>fr</t>
        </is>
      </c>
      <c r="F548" s="5" t="inlineStr">
        <is>
          <t>zero-shot</t>
        </is>
      </c>
      <c r="G548" s="5" t="n">
        <v/>
      </c>
      <c r="H548" s="5" t="inlineStr">
        <is>
          <t>single_kg3</t>
        </is>
      </c>
      <c r="I548" s="5" t="b">
        <v>0</v>
      </c>
      <c r="J548" s="5" t="b">
        <v>1</v>
      </c>
      <c r="K548" s="5" t="inlineStr">
        <is>
          <t>success</t>
        </is>
      </c>
      <c r="L548" s="5" t="n"/>
      <c r="M548" s="5" t="n">
        <v>1</v>
      </c>
      <c r="N548" s="5" t="n">
        <v>1</v>
      </c>
      <c r="O548" s="5" t="n">
        <v>12.77</v>
      </c>
    </row>
    <row r="549">
      <c r="A549" s="5" t="inlineStr">
        <is>
          <t>single_kg3_009</t>
        </is>
      </c>
      <c r="B549" s="5" t="n">
        <v>2</v>
      </c>
      <c r="C549" s="5" t="inlineStr">
        <is>
          <t>single_kg3</t>
        </is>
      </c>
      <c r="D549" s="5" t="inlineStr">
        <is>
          <t>university</t>
        </is>
      </c>
      <c r="E549" s="5" t="inlineStr">
        <is>
          <t>fr</t>
        </is>
      </c>
      <c r="F549" s="5" t="inlineStr">
        <is>
          <t>few-shot</t>
        </is>
      </c>
      <c r="G549" s="5" t="n">
        <v/>
      </c>
      <c r="H549" s="5" t="inlineStr">
        <is>
          <t>single_kg3</t>
        </is>
      </c>
      <c r="I549" s="5" t="b">
        <v>0</v>
      </c>
      <c r="J549" s="5" t="b">
        <v>1</v>
      </c>
      <c r="K549" s="5" t="inlineStr">
        <is>
          <t>success</t>
        </is>
      </c>
      <c r="L549" s="5" t="n"/>
      <c r="M549" s="5" t="n">
        <v>1</v>
      </c>
      <c r="N549" s="5" t="n">
        <v>1</v>
      </c>
      <c r="O549" s="5" t="n">
        <v>11.86</v>
      </c>
    </row>
    <row r="550">
      <c r="A550" s="5" t="inlineStr">
        <is>
          <t>single_kg3_009</t>
        </is>
      </c>
      <c r="B550" s="5" t="n">
        <v>2</v>
      </c>
      <c r="C550" s="5" t="inlineStr">
        <is>
          <t>single_kg3</t>
        </is>
      </c>
      <c r="D550" s="5" t="inlineStr">
        <is>
          <t>university</t>
        </is>
      </c>
      <c r="E550" s="5" t="inlineStr">
        <is>
          <t>fr</t>
        </is>
      </c>
      <c r="F550" s="5" t="inlineStr">
        <is>
          <t>cot</t>
        </is>
      </c>
      <c r="G550" s="5" t="n">
        <v/>
      </c>
      <c r="H550" s="5" t="inlineStr">
        <is>
          <t>single_kg3</t>
        </is>
      </c>
      <c r="I550" s="5" t="b">
        <v>0</v>
      </c>
      <c r="J550" s="5" t="b">
        <v>1</v>
      </c>
      <c r="K550" s="5" t="inlineStr">
        <is>
          <t>success</t>
        </is>
      </c>
      <c r="L550" s="5" t="n"/>
      <c r="M550" s="5" t="n">
        <v>1</v>
      </c>
      <c r="N550" s="5" t="n">
        <v>1</v>
      </c>
      <c r="O550" s="5" t="n">
        <v>11.78</v>
      </c>
    </row>
    <row r="551">
      <c r="A551" s="5" t="inlineStr">
        <is>
          <t>single_kg3_009</t>
        </is>
      </c>
      <c r="B551" s="5" t="n">
        <v>2</v>
      </c>
      <c r="C551" s="5" t="inlineStr">
        <is>
          <t>single_kg3</t>
        </is>
      </c>
      <c r="D551" s="5" t="inlineStr">
        <is>
          <t>university</t>
        </is>
      </c>
      <c r="E551" s="5" t="inlineStr">
        <is>
          <t>ar</t>
        </is>
      </c>
      <c r="F551" s="5" t="inlineStr">
        <is>
          <t>zero-shot</t>
        </is>
      </c>
      <c r="G551" s="5" t="n">
        <v/>
      </c>
      <c r="H551" s="5" t="inlineStr">
        <is>
          <t>single_kg3</t>
        </is>
      </c>
      <c r="I551" s="5" t="b">
        <v>0</v>
      </c>
      <c r="J551" s="5" t="b">
        <v>1</v>
      </c>
      <c r="K551" s="5" t="inlineStr">
        <is>
          <t>success</t>
        </is>
      </c>
      <c r="L551" s="5" t="n"/>
      <c r="M551" s="5" t="n">
        <v>1</v>
      </c>
      <c r="N551" s="5" t="n">
        <v>1</v>
      </c>
      <c r="O551" s="5" t="n">
        <v>13.39</v>
      </c>
    </row>
    <row r="552">
      <c r="A552" s="5" t="inlineStr">
        <is>
          <t>single_kg3_009</t>
        </is>
      </c>
      <c r="B552" s="5" t="n">
        <v>2</v>
      </c>
      <c r="C552" s="5" t="inlineStr">
        <is>
          <t>single_kg3</t>
        </is>
      </c>
      <c r="D552" s="5" t="inlineStr">
        <is>
          <t>university</t>
        </is>
      </c>
      <c r="E552" s="5" t="inlineStr">
        <is>
          <t>ar</t>
        </is>
      </c>
      <c r="F552" s="5" t="inlineStr">
        <is>
          <t>few-shot</t>
        </is>
      </c>
      <c r="G552" s="5" t="n">
        <v/>
      </c>
      <c r="H552" s="5" t="inlineStr">
        <is>
          <t>single_kg3</t>
        </is>
      </c>
      <c r="I552" s="5" t="b">
        <v>0</v>
      </c>
      <c r="J552" s="5" t="b">
        <v>1</v>
      </c>
      <c r="K552" s="5" t="inlineStr">
        <is>
          <t>success</t>
        </is>
      </c>
      <c r="L552" s="5" t="n"/>
      <c r="M552" s="5" t="n">
        <v>1</v>
      </c>
      <c r="N552" s="5" t="n">
        <v>1</v>
      </c>
      <c r="O552" s="5" t="n">
        <v>12.03</v>
      </c>
    </row>
    <row r="553">
      <c r="A553" s="5" t="inlineStr">
        <is>
          <t>single_kg3_009</t>
        </is>
      </c>
      <c r="B553" s="5" t="n">
        <v>2</v>
      </c>
      <c r="C553" s="5" t="inlineStr">
        <is>
          <t>single_kg3</t>
        </is>
      </c>
      <c r="D553" s="5" t="inlineStr">
        <is>
          <t>university</t>
        </is>
      </c>
      <c r="E553" s="5" t="inlineStr">
        <is>
          <t>ar</t>
        </is>
      </c>
      <c r="F553" s="5" t="inlineStr">
        <is>
          <t>cot</t>
        </is>
      </c>
      <c r="G553" s="5" t="n">
        <v/>
      </c>
      <c r="H553" s="5" t="inlineStr">
        <is>
          <t>single_kg3</t>
        </is>
      </c>
      <c r="I553" s="5" t="b">
        <v>0</v>
      </c>
      <c r="J553" s="5" t="b">
        <v>1</v>
      </c>
      <c r="K553" s="5" t="inlineStr">
        <is>
          <t>success</t>
        </is>
      </c>
      <c r="L553" s="5" t="n"/>
      <c r="M553" s="5" t="n">
        <v>1</v>
      </c>
      <c r="N553" s="5" t="n">
        <v>1</v>
      </c>
      <c r="O553" s="5" t="n">
        <v>12.34</v>
      </c>
    </row>
    <row r="554">
      <c r="A554" s="5" t="inlineStr">
        <is>
          <t>ranking_kg3_001</t>
        </is>
      </c>
      <c r="B554" s="5" t="n">
        <v>2</v>
      </c>
      <c r="C554" s="5" t="inlineStr">
        <is>
          <t>ranking_kg3</t>
        </is>
      </c>
      <c r="D554" s="5" t="inlineStr">
        <is>
          <t>university</t>
        </is>
      </c>
      <c r="E554" s="5" t="inlineStr">
        <is>
          <t>en</t>
        </is>
      </c>
      <c r="F554" s="5" t="inlineStr">
        <is>
          <t>zero-shot</t>
        </is>
      </c>
      <c r="G554" s="5" t="inlineStr">
        <is>
          <t>ranking_kg3</t>
        </is>
      </c>
      <c r="H554" s="5" t="inlineStr">
        <is>
          <t>template</t>
        </is>
      </c>
      <c r="I554" s="5" t="b">
        <v>0</v>
      </c>
      <c r="J554" s="5" t="b">
        <v>1</v>
      </c>
      <c r="K554" s="5" t="inlineStr">
        <is>
          <t>success</t>
        </is>
      </c>
      <c r="L554" s="5" t="n"/>
      <c r="M554" s="5" t="n">
        <v>0</v>
      </c>
      <c r="N554" s="5" t="n">
        <v>0</v>
      </c>
      <c r="O554" s="5" t="n">
        <v>9.58</v>
      </c>
    </row>
    <row r="555">
      <c r="A555" s="5" t="inlineStr">
        <is>
          <t>ranking_kg3_001</t>
        </is>
      </c>
      <c r="B555" s="5" t="n">
        <v>2</v>
      </c>
      <c r="C555" s="5" t="inlineStr">
        <is>
          <t>ranking_kg3</t>
        </is>
      </c>
      <c r="D555" s="5" t="inlineStr">
        <is>
          <t>university</t>
        </is>
      </c>
      <c r="E555" s="5" t="inlineStr">
        <is>
          <t>fr</t>
        </is>
      </c>
      <c r="F555" s="5" t="inlineStr">
        <is>
          <t>zero-shot</t>
        </is>
      </c>
      <c r="G555" s="5" t="inlineStr">
        <is>
          <t>ranking_kg3</t>
        </is>
      </c>
      <c r="H555" s="5" t="inlineStr">
        <is>
          <t>template</t>
        </is>
      </c>
      <c r="I555" s="5" t="b">
        <v>0</v>
      </c>
      <c r="J555" s="5" t="b">
        <v>1</v>
      </c>
      <c r="K555" s="5" t="inlineStr">
        <is>
          <t>success</t>
        </is>
      </c>
      <c r="L555" s="5" t="n"/>
      <c r="M555" s="5" t="n">
        <v>0</v>
      </c>
      <c r="N555" s="5" t="n">
        <v>0</v>
      </c>
      <c r="O555" s="5" t="n">
        <v>9.710000000000001</v>
      </c>
    </row>
  </sheetData>
  <autoFilter ref="A1:O5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2026-08-31T15:55:01Z</dcterms:created>
  <dcterms:modified xsi:type="dcterms:W3CDTF">2026-08-31T15:55:01Z</dcterms:modified>
</cp:coreProperties>
</file>